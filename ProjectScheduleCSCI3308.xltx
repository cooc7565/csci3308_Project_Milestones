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3"/>
  <workbookPr filterPrivacy="1" codeName="ThisWorkbook"/>
  <xr:revisionPtr revIDLastSave="0" documentId="8_{642EE707-F3A0-F44D-A350-E9CDB6FC1154}" xr6:coauthVersionLast="45" xr6:coauthVersionMax="45" xr10:uidLastSave="{00000000-0000-0000-0000-000000000000}"/>
  <bookViews>
    <workbookView xWindow="0" yWindow="460" windowWidth="28800" windowHeight="16000" xr2:uid="{00000000-000D-0000-FFFF-FFFF00000000}"/>
  </bookViews>
  <sheets>
    <sheet name="ProjectSchedule" sheetId="11" r:id="rId1"/>
    <sheet name="About" sheetId="12" r:id="rId2"/>
  </sheets>
  <definedNames>
    <definedName name="Display_Week">ProjectSchedule!$E$4</definedName>
    <definedName name="_xlnm.Print_Titles" localSheetId="0">ProjectSchedule!$4:$6</definedName>
    <definedName name="Project_Start">ProjectSchedule!$E$3</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44" i="11" l="1"/>
  <c r="E43" i="11"/>
  <c r="E42" i="11"/>
  <c r="E41" i="11"/>
  <c r="E40" i="11"/>
  <c r="E39" i="11"/>
  <c r="H7" i="11" l="1"/>
  <c r="E3" i="11" l="1"/>
  <c r="E9" i="11" s="1"/>
  <c r="F9" i="11" l="1"/>
  <c r="E10" i="11" s="1"/>
  <c r="E13" i="11"/>
  <c r="E21" i="11"/>
  <c r="I5" i="11"/>
  <c r="H46" i="11"/>
  <c r="H45" i="11"/>
  <c r="H31" i="11"/>
  <c r="H30" i="11"/>
  <c r="H29" i="11"/>
  <c r="H28" i="11"/>
  <c r="H26" i="11"/>
  <c r="H20" i="11"/>
  <c r="H14" i="11"/>
  <c r="H8" i="11"/>
  <c r="E15" i="11" l="1"/>
  <c r="E17" i="11" s="1"/>
  <c r="F10" i="11"/>
  <c r="E11" i="11" s="1"/>
  <c r="F21" i="11"/>
  <c r="E22" i="11" s="1"/>
  <c r="H9" i="11"/>
  <c r="I6" i="11"/>
  <c r="E16" i="11" l="1"/>
  <c r="F16" i="11" s="1"/>
  <c r="F17" i="11" s="1"/>
  <c r="H21" i="11"/>
  <c r="F22" i="11"/>
  <c r="H22" i="11" s="1"/>
  <c r="E23" i="11"/>
  <c r="H10" i="11"/>
  <c r="F11" i="11"/>
  <c r="E12" i="11" s="1"/>
  <c r="J5" i="11"/>
  <c r="K5" i="11" s="1"/>
  <c r="L5" i="11" s="1"/>
  <c r="M5" i="11" s="1"/>
  <c r="N5" i="11" s="1"/>
  <c r="O5" i="11" s="1"/>
  <c r="P5" i="11" s="1"/>
  <c r="I4" i="11"/>
  <c r="F15" i="11" l="1"/>
  <c r="H15" i="11" s="1"/>
  <c r="F23" i="11"/>
  <c r="E25" i="11"/>
  <c r="F25" i="11" s="1"/>
  <c r="H25" i="11" s="1"/>
  <c r="H16" i="11"/>
  <c r="E18" i="11"/>
  <c r="E19" i="11" s="1"/>
  <c r="H11" i="11"/>
  <c r="F12" i="11"/>
  <c r="P4" i="11"/>
  <c r="Q5" i="11"/>
  <c r="R5" i="11" s="1"/>
  <c r="S5" i="11" s="1"/>
  <c r="T5" i="11" s="1"/>
  <c r="U5" i="11" s="1"/>
  <c r="V5" i="11" s="1"/>
  <c r="W5" i="11" s="1"/>
  <c r="J6" i="11"/>
  <c r="H12" i="11" l="1"/>
  <c r="F13" i="11"/>
  <c r="H13" i="11" s="1"/>
  <c r="H23" i="11"/>
  <c r="E24" i="11"/>
  <c r="F24" i="11" s="1"/>
  <c r="F19" i="11"/>
  <c r="F18" i="11"/>
  <c r="H18" i="11" s="1"/>
  <c r="W4" i="11"/>
  <c r="X5" i="11"/>
  <c r="Y5" i="11" s="1"/>
  <c r="Z5" i="11" s="1"/>
  <c r="AA5" i="11" s="1"/>
  <c r="AB5" i="11" s="1"/>
  <c r="AC5" i="11" s="1"/>
  <c r="AD5" i="11" s="1"/>
  <c r="K6" i="11"/>
  <c r="H24" i="11" l="1"/>
  <c r="E27" i="11"/>
  <c r="H19" i="11"/>
  <c r="H17" i="11"/>
  <c r="AE5" i="11"/>
  <c r="AF5" i="11" s="1"/>
  <c r="AG5" i="11" s="1"/>
  <c r="AH5" i="11" s="1"/>
  <c r="AI5" i="11" s="1"/>
  <c r="AJ5" i="11" s="1"/>
  <c r="AD4" i="11"/>
  <c r="L6" i="11"/>
  <c r="H27" i="11" l="1"/>
  <c r="AK5" i="11"/>
  <c r="AL5" i="11" s="1"/>
  <c r="AM5" i="11" s="1"/>
  <c r="AN5" i="11" s="1"/>
  <c r="AO5" i="11" s="1"/>
  <c r="AP5" i="11" s="1"/>
  <c r="AQ5" i="11" s="1"/>
  <c r="M6" i="11"/>
  <c r="AR5" i="11" l="1"/>
  <c r="AS5" i="11" s="1"/>
  <c r="AK4" i="11"/>
  <c r="N6" i="11"/>
  <c r="AT5" i="11" l="1"/>
  <c r="AS6" i="11"/>
  <c r="AR4" i="11"/>
  <c r="O6" i="11"/>
  <c r="AU5" i="11" l="1"/>
  <c r="AT6" i="11"/>
  <c r="AV5" i="11" l="1"/>
  <c r="AU6" i="11"/>
  <c r="P6" i="11"/>
  <c r="Q6" i="11"/>
  <c r="AW5" i="11" l="1"/>
  <c r="AV6" i="11"/>
  <c r="R6" i="11"/>
  <c r="AX5" i="11" l="1"/>
  <c r="AY5" i="11" s="1"/>
  <c r="AW6" i="11"/>
  <c r="S6" i="11"/>
  <c r="AY6" i="11" l="1"/>
  <c r="AZ5" i="11"/>
  <c r="AY4" i="11"/>
  <c r="AX6" i="11"/>
  <c r="T6" i="11"/>
  <c r="BA5" i="11" l="1"/>
  <c r="AZ6" i="11"/>
  <c r="U6" i="11"/>
  <c r="BA6" i="11" l="1"/>
  <c r="BB5" i="11"/>
  <c r="V6" i="11"/>
  <c r="BB6" i="11" l="1"/>
  <c r="BC5" i="11"/>
  <c r="W6" i="11"/>
  <c r="BC6" i="11" l="1"/>
  <c r="BD5" i="11"/>
  <c r="X6" i="11"/>
  <c r="BE5" i="11" l="1"/>
  <c r="BF5" i="11" s="1"/>
  <c r="BD6" i="11"/>
  <c r="Y6" i="11"/>
  <c r="BE6" i="11" l="1"/>
  <c r="Z6" i="11"/>
  <c r="AA6" i="11" l="1"/>
  <c r="AB6" i="11" l="1"/>
  <c r="AC6" i="11" l="1"/>
  <c r="AD6" i="11" l="1"/>
  <c r="AE6" i="11" l="1"/>
  <c r="AF6" i="11" l="1"/>
  <c r="AG6" i="11" l="1"/>
  <c r="AH6" i="11" l="1"/>
  <c r="AI6" i="11" l="1"/>
  <c r="AJ6" i="11" l="1"/>
  <c r="AK6" i="11" l="1"/>
  <c r="AL6" i="11" l="1"/>
  <c r="AM6" i="11" l="1"/>
  <c r="AN6" i="11" l="1"/>
  <c r="AO6" i="11" l="1"/>
  <c r="AP6" i="11" l="1"/>
  <c r="AQ6" i="11" l="1"/>
  <c r="AR6" i="11" l="1"/>
  <c r="BF4" i="11"/>
  <c r="BG5" i="11"/>
  <c r="BH5" i="11" s="1"/>
  <c r="BH6" i="11" s="1"/>
  <c r="BF6" i="11"/>
  <c r="BG6" i="11" l="1"/>
  <c r="BI5" i="11"/>
  <c r="BJ5" i="11" l="1"/>
  <c r="BI6" i="11"/>
  <c r="BK5" i="11" l="1"/>
  <c r="BJ6" i="11"/>
  <c r="BK6" i="11" l="1"/>
  <c r="BL5" i="11"/>
  <c r="BM5" i="11" s="1"/>
  <c r="BM6" i="11" s="1"/>
  <c r="BM4" i="11" l="1"/>
  <c r="BN5" i="11"/>
  <c r="BL6" i="11"/>
  <c r="BO5" i="11" l="1"/>
  <c r="BN6" i="11"/>
  <c r="BP5" i="11" l="1"/>
  <c r="BO6" i="11"/>
  <c r="BQ5" i="11" l="1"/>
  <c r="BP6" i="11"/>
  <c r="BS5" i="11" l="1"/>
  <c r="BQ6" i="11"/>
  <c r="BT5" i="11" l="1"/>
  <c r="BT6" i="11" s="1"/>
  <c r="BS6" i="11"/>
  <c r="BU5" i="11" l="1"/>
  <c r="BV5" i="11" s="1"/>
  <c r="BT4" i="11"/>
  <c r="BU6" i="11" l="1"/>
  <c r="BW5" i="11"/>
  <c r="BV6" i="11"/>
  <c r="BX5" i="11" l="1"/>
  <c r="BW6" i="11"/>
  <c r="BY5" i="11" l="1"/>
  <c r="BX6" i="11"/>
  <c r="BZ5" i="11" l="1"/>
  <c r="BZ6" i="11" s="1"/>
  <c r="BY6" i="11"/>
</calcChain>
</file>

<file path=xl/sharedStrings.xml><?xml version="1.0" encoding="utf-8"?>
<sst xmlns="http://schemas.openxmlformats.org/spreadsheetml/2006/main" count="114" uniqueCount="82">
  <si>
    <t>Task 5</t>
  </si>
  <si>
    <t>Insert new rows ABOVE this one</t>
  </si>
  <si>
    <t>Project Start:</t>
  </si>
  <si>
    <t>PROGRESS</t>
  </si>
  <si>
    <t>ASSIGNED
TO</t>
  </si>
  <si>
    <t>Project Management Templates</t>
  </si>
  <si>
    <t>START</t>
  </si>
  <si>
    <t>END</t>
  </si>
  <si>
    <t>DAYS</t>
  </si>
  <si>
    <t>Display Week:</t>
  </si>
  <si>
    <t>TASK</t>
  </si>
  <si>
    <t>More Project Management Templates</t>
  </si>
  <si>
    <t>About This Template</t>
  </si>
  <si>
    <t>SIMPLE GANTT CHART by Vertex42.com</t>
  </si>
  <si>
    <t>Additional Help</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</si>
  <si>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</si>
  <si>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</si>
  <si>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</si>
  <si>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https://www.vertex42.com/ExcelTemplates/simple-gantt-chart.html</t>
  </si>
  <si>
    <t>Visit Vertex42.com to download other project management templates, including different types of project schedules, Gantt charts, tasks lists, etc.</t>
  </si>
  <si>
    <t>How to Use the Simple Gantt Chart</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</si>
  <si>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</si>
  <si>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</si>
  <si>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</si>
  <si>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Guide for Screen Readers</t>
  </si>
  <si>
    <t>Enter Company Name in cell B2.</t>
  </si>
  <si>
    <t>Sample phase title block</t>
  </si>
  <si>
    <t>This row marks the end of the Project Schedule. DO NOT enter anything in this row. 
Insert new rows ABOVE this one to continue building out your Project Schedule.</t>
  </si>
  <si>
    <t>This is an empty row</t>
  </si>
  <si>
    <t xml:space="preserve">Do not delete this row. This row is hidden to preserve a formula that is used to highlight the curren day within the project schedule. </t>
  </si>
  <si>
    <t>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</si>
  <si>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Enter the name of the Project Lead in cell B3. Enter the Project Start date in cell E3. Pooject Start: label is in cell C3.</t>
  </si>
  <si>
    <t>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</si>
  <si>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</si>
  <si>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</si>
  <si>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</si>
  <si>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 xml:space="preserve">Cell B9 contains the sample task "Task 1." 
Enter a new task name in cell B9.
Enter a person to assign the task to in cell C9.
Enter progres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</si>
  <si>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</si>
  <si>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</si>
  <si>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Event Listing</t>
  </si>
  <si>
    <t>Unique Accounts</t>
  </si>
  <si>
    <t>Event Suggestion</t>
  </si>
  <si>
    <t>Communication Between Users</t>
  </si>
  <si>
    <t>Notifications</t>
  </si>
  <si>
    <t>Access events from venues websites</t>
  </si>
  <si>
    <t>Store/organize Data</t>
  </si>
  <si>
    <t>Catagorize events by genre</t>
  </si>
  <si>
    <t>Colton</t>
  </si>
  <si>
    <t>Milestones</t>
  </si>
  <si>
    <t>Milestone 1</t>
  </si>
  <si>
    <t>Milestone 2</t>
  </si>
  <si>
    <t>Milestone 3</t>
  </si>
  <si>
    <t>Milestone 4</t>
  </si>
  <si>
    <t>Milestone 5</t>
  </si>
  <si>
    <t>Milestone 6</t>
  </si>
  <si>
    <t>Milestone 7</t>
  </si>
  <si>
    <t>Milestone 8</t>
  </si>
  <si>
    <t>All</t>
  </si>
  <si>
    <t>N/A</t>
  </si>
  <si>
    <t>Search by genre</t>
  </si>
  <si>
    <t>Ryan</t>
  </si>
  <si>
    <t>Haifeng</t>
  </si>
  <si>
    <t>Reid</t>
  </si>
  <si>
    <t>Cade</t>
  </si>
  <si>
    <t>Look over others code</t>
  </si>
  <si>
    <t>Account Data Storage</t>
  </si>
  <si>
    <t>Password Encriptions</t>
  </si>
  <si>
    <t>Change Password</t>
  </si>
  <si>
    <t>Preferences</t>
  </si>
  <si>
    <t>User Prefences Data storage</t>
  </si>
  <si>
    <t>Pulling events based off category</t>
  </si>
  <si>
    <t>Relating interest to event</t>
  </si>
  <si>
    <t>Creating distinct users</t>
  </si>
  <si>
    <t>GUI for user</t>
  </si>
  <si>
    <t>Storage for user data</t>
  </si>
  <si>
    <t>Tracking Users interest</t>
  </si>
  <si>
    <t>General Notification Work</t>
  </si>
  <si>
    <t>Event Search</t>
  </si>
  <si>
    <t>General Event search work</t>
  </si>
  <si>
    <t>Live</t>
  </si>
  <si>
    <t>CSCI 3308</t>
  </si>
  <si>
    <t>Team Rad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</si>
</sst>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3"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s>
  <fills count="21">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9"/>
        <bgColor indexed="64"/>
      </patternFill>
    </fill>
    <fill>
      <patternFill patternType="solid">
        <fgColor theme="9" tint="0.39997558519241921"/>
        <bgColor indexed="64"/>
      </patternFill>
    </fill>
    <fill>
      <patternFill patternType="solid">
        <fgColor theme="3"/>
        <bgColor indexed="64"/>
      </patternFill>
    </fill>
    <fill>
      <patternFill patternType="solid">
        <fgColor theme="3"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s>
  <borders count="11">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s>
  <cellStyleXfs count="1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xf numFmtId="0" fontId="22" fillId="0" borderId="0"/>
    <xf numFmtId="43" fontId="9" fillId="0" borderId="3" applyFont="0" applyFill="0" applyAlignment="0" applyProtection="0"/>
    <xf numFmtId="0" fontId="13" fillId="0" borderId="0" applyNumberFormat="0" applyFill="0" applyBorder="0" applyAlignment="0" applyProtection="0"/>
    <xf numFmtId="0" fontId="10" fillId="0" borderId="0" applyNumberFormat="0" applyFill="0" applyAlignment="0" applyProtection="0"/>
    <xf numFmtId="0" fontId="10" fillId="0" borderId="0" applyNumberFormat="0" applyFill="0" applyProtection="0">
      <alignment vertical="top"/>
    </xf>
    <xf numFmtId="0" fontId="9" fillId="0" borderId="0" applyNumberFormat="0" applyFill="0" applyProtection="0">
      <alignment horizontal="right" indent="1"/>
    </xf>
    <xf numFmtId="165" fontId="9" fillId="0" borderId="3">
      <alignment horizontal="center" vertical="center"/>
    </xf>
    <xf numFmtId="164" fontId="9" fillId="0" borderId="2" applyFill="0">
      <alignment horizontal="center" vertical="center"/>
    </xf>
    <xf numFmtId="0" fontId="9" fillId="0" borderId="2" applyFill="0">
      <alignment horizontal="center" vertical="center"/>
    </xf>
    <xf numFmtId="0" fontId="9" fillId="0" borderId="2" applyFill="0">
      <alignment horizontal="left" vertical="center" indent="2"/>
    </xf>
  </cellStyleXfs>
  <cellXfs count="122">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7" fontId="11" fillId="7" borderId="0" xfId="0" applyNumberFormat="1" applyFont="1" applyFill="1" applyAlignment="1">
      <alignment horizontal="center" vertical="center"/>
    </xf>
    <xf numFmtId="167" fontId="11" fillId="7" borderId="6" xfId="0" applyNumberFormat="1" applyFont="1" applyFill="1" applyBorder="1" applyAlignment="1">
      <alignment horizontal="center" vertical="center"/>
    </xf>
    <xf numFmtId="167" fontId="11" fillId="7" borderId="7" xfId="0" applyNumberFormat="1" applyFont="1" applyFill="1" applyBorder="1" applyAlignment="1">
      <alignment horizontal="center" vertical="center"/>
    </xf>
    <xf numFmtId="0" fontId="12" fillId="12" borderId="8" xfId="0" applyFont="1" applyFill="1" applyBorder="1" applyAlignment="1">
      <alignment horizontal="center" vertical="center" shrinkToFit="1"/>
    </xf>
    <xf numFmtId="0" fontId="14" fillId="0" borderId="0" xfId="0" applyFont="1"/>
    <xf numFmtId="0" fontId="15" fillId="0" borderId="0" xfId="1" applyFont="1" applyAlignment="1" applyProtection="1"/>
    <xf numFmtId="9" fontId="5" fillId="0" borderId="2" xfId="2"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0" fillId="2" borderId="9" xfId="0" applyFill="1" applyBorder="1" applyAlignment="1">
      <alignment vertical="center"/>
    </xf>
    <xf numFmtId="0" fontId="2" fillId="0" borderId="0" xfId="0" applyFont="1" applyAlignment="1">
      <alignment horizontal="center" vertical="center"/>
    </xf>
    <xf numFmtId="0" fontId="2" fillId="0" borderId="0" xfId="0" applyFont="1" applyAlignment="1">
      <alignment vertical="top"/>
    </xf>
    <xf numFmtId="0" fontId="16" fillId="0" borderId="0" xfId="0" applyFont="1" applyAlignment="1">
      <alignment horizontal="left" vertical="center"/>
    </xf>
    <xf numFmtId="0" fontId="17" fillId="0" borderId="0" xfId="0" applyFont="1" applyAlignment="1">
      <alignment horizontal="left" vertical="center"/>
    </xf>
    <xf numFmtId="0" fontId="19" fillId="0" borderId="0" xfId="0" applyFont="1"/>
    <xf numFmtId="0" fontId="21" fillId="0" borderId="0" xfId="0" applyFont="1" applyAlignment="1">
      <alignment vertical="center"/>
    </xf>
    <xf numFmtId="0" fontId="20" fillId="0" borderId="0" xfId="0" applyFont="1" applyAlignment="1">
      <alignment horizontal="left" vertical="top" wrapText="1" indent="1"/>
    </xf>
    <xf numFmtId="0" fontId="2" fillId="0" borderId="0" xfId="0" applyFont="1" applyAlignment="1">
      <alignment horizontal="left" vertical="top"/>
    </xf>
    <xf numFmtId="0" fontId="18"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2" fillId="0" borderId="0" xfId="3"/>
    <xf numFmtId="0" fontId="22" fillId="0" borderId="0" xfId="3" applyAlignment="1">
      <alignment wrapText="1"/>
    </xf>
    <xf numFmtId="0" fontId="22" fillId="0" borderId="0" xfId="0" applyFont="1" applyAlignment="1">
      <alignment horizontal="center"/>
    </xf>
    <xf numFmtId="0" fontId="15" fillId="0" borderId="0" xfId="1" applyFont="1" applyProtection="1">
      <alignment vertical="top"/>
    </xf>
    <xf numFmtId="0" fontId="0" fillId="0" borderId="0" xfId="0" applyAlignment="1">
      <alignment wrapText="1"/>
    </xf>
    <xf numFmtId="0" fontId="13" fillId="0" borderId="0" xfId="5" applyAlignment="1">
      <alignment horizontal="left"/>
    </xf>
    <xf numFmtId="0" fontId="10" fillId="0" borderId="0" xfId="6"/>
    <xf numFmtId="0" fontId="10" fillId="0" borderId="0" xfId="7">
      <alignment vertical="top"/>
    </xf>
    <xf numFmtId="164" fontId="9" fillId="3" borderId="2" xfId="10" applyFill="1">
      <alignment horizontal="center" vertical="center"/>
    </xf>
    <xf numFmtId="164" fontId="9" fillId="4" borderId="2" xfId="10" applyFill="1">
      <alignment horizontal="center" vertical="center"/>
    </xf>
    <xf numFmtId="164" fontId="9" fillId="11" borderId="2" xfId="10" applyFill="1">
      <alignment horizontal="center" vertical="center"/>
    </xf>
    <xf numFmtId="164" fontId="9" fillId="10" borderId="2" xfId="10" applyFill="1">
      <alignment horizontal="center" vertical="center"/>
    </xf>
    <xf numFmtId="164" fontId="9" fillId="0" borderId="2" xfId="10">
      <alignment horizontal="center" vertical="center"/>
    </xf>
    <xf numFmtId="0" fontId="9" fillId="8" borderId="2" xfId="11" applyFill="1">
      <alignment horizontal="center" vertical="center"/>
    </xf>
    <xf numFmtId="0" fontId="9" fillId="3" borderId="2" xfId="11" applyFill="1">
      <alignment horizontal="center" vertical="center"/>
    </xf>
    <xf numFmtId="0" fontId="9" fillId="9" borderId="2" xfId="11" applyFill="1">
      <alignment horizontal="center" vertical="center"/>
    </xf>
    <xf numFmtId="0" fontId="9" fillId="4" borderId="2" xfId="11" applyFill="1">
      <alignment horizontal="center" vertical="center"/>
    </xf>
    <xf numFmtId="0" fontId="9" fillId="6" borderId="2" xfId="11" applyFill="1">
      <alignment horizontal="center" vertical="center"/>
    </xf>
    <xf numFmtId="0" fontId="9" fillId="11" borderId="2" xfId="11" applyFill="1">
      <alignment horizontal="center" vertical="center"/>
    </xf>
    <xf numFmtId="0" fontId="9" fillId="5" borderId="2" xfId="11" applyFill="1">
      <alignment horizontal="center" vertical="center"/>
    </xf>
    <xf numFmtId="0" fontId="9" fillId="10" borderId="2" xfId="11" applyFill="1">
      <alignment horizontal="center" vertical="center"/>
    </xf>
    <xf numFmtId="0" fontId="9" fillId="0" borderId="2" xfId="11">
      <alignment horizontal="center" vertical="center"/>
    </xf>
    <xf numFmtId="0" fontId="9" fillId="3" borderId="2" xfId="12" applyFill="1">
      <alignment horizontal="left" vertical="center" indent="2"/>
    </xf>
    <xf numFmtId="0" fontId="9" fillId="4" borderId="2" xfId="12" applyFill="1">
      <alignment horizontal="left" vertical="center" indent="2"/>
    </xf>
    <xf numFmtId="0" fontId="9" fillId="11" borderId="2" xfId="12" applyFill="1">
      <alignment horizontal="left" vertical="center" indent="2"/>
    </xf>
    <xf numFmtId="0" fontId="9" fillId="10" borderId="2" xfId="12" applyFill="1">
      <alignment horizontal="left" vertical="center" indent="2"/>
    </xf>
    <xf numFmtId="0" fontId="9" fillId="0" borderId="2" xfId="12">
      <alignment horizontal="left" vertical="center" indent="2"/>
    </xf>
    <xf numFmtId="0" fontId="9" fillId="0" borderId="0" xfId="8">
      <alignment horizontal="right" indent="1"/>
    </xf>
    <xf numFmtId="0" fontId="9" fillId="0" borderId="7" xfId="8" applyBorder="1">
      <alignment horizontal="right" indent="1"/>
    </xf>
    <xf numFmtId="0" fontId="0" fillId="0" borderId="10" xfId="0" applyBorder="1"/>
    <xf numFmtId="166" fontId="0" fillId="7" borderId="4" xfId="0" applyNumberFormat="1" applyFill="1" applyBorder="1" applyAlignment="1">
      <alignment horizontal="left" vertical="center" wrapText="1" indent="1"/>
    </xf>
    <xf numFmtId="166" fontId="0" fillId="7" borderId="1" xfId="0" applyNumberFormat="1" applyFill="1" applyBorder="1" applyAlignment="1">
      <alignment horizontal="left" vertical="center" wrapText="1" indent="1"/>
    </xf>
    <xf numFmtId="166" fontId="0" fillId="7" borderId="5" xfId="0" applyNumberFormat="1" applyFill="1" applyBorder="1" applyAlignment="1">
      <alignment horizontal="left" vertical="center" wrapText="1" indent="1"/>
    </xf>
    <xf numFmtId="165" fontId="9" fillId="0" borderId="3" xfId="9">
      <alignment horizontal="center" vertical="center"/>
    </xf>
    <xf numFmtId="0" fontId="9" fillId="14" borderId="2" xfId="12" applyFill="1">
      <alignment horizontal="left" vertical="center" indent="2"/>
    </xf>
    <xf numFmtId="0" fontId="9" fillId="14" borderId="2" xfId="11" applyFill="1">
      <alignment horizontal="center" vertical="center"/>
    </xf>
    <xf numFmtId="9" fontId="5" fillId="14" borderId="2" xfId="2" applyFont="1" applyFill="1" applyBorder="1" applyAlignment="1">
      <alignment horizontal="center" vertical="center"/>
    </xf>
    <xf numFmtId="164" fontId="9" fillId="14" borderId="2" xfId="10" applyFill="1">
      <alignment horizontal="center" vertical="center"/>
    </xf>
    <xf numFmtId="0" fontId="9" fillId="15" borderId="2" xfId="12" applyFill="1">
      <alignment horizontal="left" vertical="center" indent="2"/>
    </xf>
    <xf numFmtId="0" fontId="9" fillId="15" borderId="2" xfId="11" applyFill="1">
      <alignment horizontal="center" vertical="center"/>
    </xf>
    <xf numFmtId="9" fontId="5" fillId="15" borderId="2" xfId="2" applyFont="1" applyFill="1" applyBorder="1" applyAlignment="1">
      <alignment horizontal="center" vertical="center"/>
    </xf>
    <xf numFmtId="164" fontId="9" fillId="15" borderId="2" xfId="10" applyFill="1">
      <alignment horizontal="center" vertical="center"/>
    </xf>
    <xf numFmtId="0" fontId="9" fillId="16" borderId="2" xfId="12" applyFill="1">
      <alignment horizontal="left" vertical="center" indent="2"/>
    </xf>
    <xf numFmtId="0" fontId="9" fillId="16" borderId="2" xfId="11" applyFill="1">
      <alignment horizontal="center" vertical="center"/>
    </xf>
    <xf numFmtId="9" fontId="5" fillId="16" borderId="2" xfId="2" applyFont="1" applyFill="1" applyBorder="1" applyAlignment="1">
      <alignment horizontal="center" vertical="center"/>
    </xf>
    <xf numFmtId="164" fontId="9" fillId="16" borderId="2" xfId="10" applyFill="1">
      <alignment horizontal="center" vertical="center"/>
    </xf>
    <xf numFmtId="0" fontId="9" fillId="17" borderId="2" xfId="12" applyFill="1">
      <alignment horizontal="left" vertical="center" indent="2"/>
    </xf>
    <xf numFmtId="0" fontId="9" fillId="17" borderId="2" xfId="11" applyFill="1">
      <alignment horizontal="center" vertical="center"/>
    </xf>
    <xf numFmtId="9" fontId="5" fillId="17" borderId="2" xfId="2" applyFont="1" applyFill="1" applyBorder="1" applyAlignment="1">
      <alignment horizontal="center" vertical="center"/>
    </xf>
    <xf numFmtId="164" fontId="9" fillId="17" borderId="2" xfId="10" applyFill="1">
      <alignment horizontal="center" vertical="center"/>
    </xf>
    <xf numFmtId="166" fontId="0" fillId="18" borderId="4" xfId="0" applyNumberFormat="1" applyFill="1" applyBorder="1" applyAlignment="1">
      <alignment horizontal="left" vertical="center" wrapText="1" indent="1"/>
    </xf>
    <xf numFmtId="166" fontId="0" fillId="18" borderId="1" xfId="0" applyNumberFormat="1" applyFill="1" applyBorder="1" applyAlignment="1">
      <alignment horizontal="left" vertical="center" wrapText="1" indent="1"/>
    </xf>
    <xf numFmtId="166" fontId="0" fillId="18" borderId="5" xfId="0" applyNumberFormat="1" applyFill="1" applyBorder="1" applyAlignment="1">
      <alignment horizontal="left" vertical="center" wrapText="1" indent="1"/>
    </xf>
    <xf numFmtId="167" fontId="11" fillId="18" borderId="6" xfId="0" applyNumberFormat="1" applyFont="1" applyFill="1" applyBorder="1" applyAlignment="1">
      <alignment horizontal="center" vertical="center"/>
    </xf>
    <xf numFmtId="167" fontId="11" fillId="18" borderId="0" xfId="0" applyNumberFormat="1" applyFont="1" applyFill="1" applyAlignment="1">
      <alignment horizontal="center" vertical="center"/>
    </xf>
    <xf numFmtId="167" fontId="11" fillId="18" borderId="7" xfId="0" applyNumberFormat="1" applyFont="1" applyFill="1" applyBorder="1" applyAlignment="1">
      <alignment horizontal="center" vertical="center"/>
    </xf>
    <xf numFmtId="0" fontId="9" fillId="19" borderId="2" xfId="12" applyFill="1">
      <alignment horizontal="left" vertical="center" indent="2"/>
    </xf>
    <xf numFmtId="0" fontId="9" fillId="19" borderId="2" xfId="11" applyFill="1">
      <alignment horizontal="center" vertical="center"/>
    </xf>
    <xf numFmtId="9" fontId="5" fillId="19" borderId="2" xfId="2" applyFont="1" applyFill="1" applyBorder="1" applyAlignment="1">
      <alignment horizontal="center" vertical="center"/>
    </xf>
    <xf numFmtId="164" fontId="9" fillId="19" borderId="2" xfId="10" applyFill="1">
      <alignment horizontal="center" vertical="center"/>
    </xf>
    <xf numFmtId="0" fontId="9" fillId="20" borderId="2" xfId="12" applyFill="1">
      <alignment horizontal="left" vertical="center" indent="2"/>
    </xf>
    <xf numFmtId="0" fontId="9" fillId="20" borderId="2" xfId="11" applyFill="1">
      <alignment horizontal="center" vertical="center"/>
    </xf>
    <xf numFmtId="9" fontId="5" fillId="20" borderId="2" xfId="2" applyFont="1" applyFill="1" applyBorder="1" applyAlignment="1">
      <alignment horizontal="center" vertical="center"/>
    </xf>
    <xf numFmtId="164" fontId="9" fillId="20" borderId="2" xfId="10" applyFill="1">
      <alignment horizontal="center" vertical="center"/>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51">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50"/>
      <tableStyleElement type="headerRow" dxfId="49"/>
      <tableStyleElement type="totalRow" dxfId="48"/>
      <tableStyleElement type="firstColumn" dxfId="47"/>
      <tableStyleElement type="lastColumn" dxfId="46"/>
      <tableStyleElement type="firstRowStripe" dxfId="45"/>
      <tableStyleElement type="secondRowStripe" dxfId="44"/>
      <tableStyleElement type="firstColumnStripe" dxfId="43"/>
      <tableStyleElement type="secondColumnStripe" dxfId="4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G49"/>
  <sheetViews>
    <sheetView showGridLines="0" tabSelected="1" showRuler="0" zoomScale="40" zoomScaleNormal="100" zoomScalePageLayoutView="70" workbookViewId="0">
      <pane ySplit="6" topLeftCell="A8" activePane="bottomLeft" state="frozen"/>
      <selection pane="bottomLeft" activeCell="CS25" sqref="CS25"/>
    </sheetView>
  </sheetViews>
  <sheetFormatPr baseColWidth="10" defaultColWidth="8.83203125" defaultRowHeight="30" customHeight="1" x14ac:dyDescent="0.2"/>
  <cols>
    <col min="1" max="1" width="2.6640625" style="58" customWidth="1"/>
    <col min="2" max="2" width="29.33203125" customWidth="1"/>
    <col min="3" max="3" width="30.6640625" customWidth="1"/>
    <col min="4" max="4" width="10.6640625" customWidth="1"/>
    <col min="5" max="5" width="10.5" style="5" customWidth="1"/>
    <col min="6" max="6" width="10.5" customWidth="1"/>
    <col min="7" max="7" width="2.6640625" customWidth="1"/>
    <col min="8" max="8" width="6.1640625" hidden="1" customWidth="1"/>
    <col min="9" max="69" width="2.5" customWidth="1"/>
    <col min="70" max="70" width="0.1640625" customWidth="1"/>
    <col min="71" max="85" width="2.5" customWidth="1"/>
  </cols>
  <sheetData>
    <row r="1" spans="1:85" ht="30" customHeight="1" x14ac:dyDescent="0.35">
      <c r="A1" s="59" t="s">
        <v>30</v>
      </c>
      <c r="B1" s="63" t="s">
        <v>79</v>
      </c>
      <c r="C1" s="1"/>
      <c r="D1" s="2"/>
      <c r="E1" s="4"/>
      <c r="F1" s="47"/>
      <c r="H1" s="2"/>
      <c r="I1" s="14" t="s">
        <v>13</v>
      </c>
    </row>
    <row r="2" spans="1:85" ht="30" customHeight="1" x14ac:dyDescent="0.25">
      <c r="A2" s="58" t="s">
        <v>25</v>
      </c>
      <c r="B2" s="64" t="s">
        <v>80</v>
      </c>
      <c r="I2" s="61" t="s">
        <v>18</v>
      </c>
    </row>
    <row r="3" spans="1:85" ht="30" customHeight="1" x14ac:dyDescent="0.2">
      <c r="A3" s="58" t="s">
        <v>31</v>
      </c>
      <c r="B3" s="65" t="s">
        <v>81</v>
      </c>
      <c r="C3" s="85" t="s">
        <v>2</v>
      </c>
      <c r="D3" s="86"/>
      <c r="E3" s="91">
        <f ca="1">TODAY()</f>
        <v>43878</v>
      </c>
      <c r="F3" s="91"/>
    </row>
    <row r="4" spans="1:85" ht="30" customHeight="1" x14ac:dyDescent="0.2">
      <c r="A4" s="59" t="s">
        <v>32</v>
      </c>
      <c r="C4" s="85" t="s">
        <v>9</v>
      </c>
      <c r="D4" s="86"/>
      <c r="E4" s="7">
        <v>1</v>
      </c>
      <c r="I4" s="88">
        <f ca="1">I5</f>
        <v>43878</v>
      </c>
      <c r="J4" s="89"/>
      <c r="K4" s="89"/>
      <c r="L4" s="89"/>
      <c r="M4" s="89"/>
      <c r="N4" s="89"/>
      <c r="O4" s="90"/>
      <c r="P4" s="88">
        <f ca="1">P5</f>
        <v>43885</v>
      </c>
      <c r="Q4" s="89"/>
      <c r="R4" s="89"/>
      <c r="S4" s="89"/>
      <c r="T4" s="89"/>
      <c r="U4" s="89"/>
      <c r="V4" s="90"/>
      <c r="W4" s="88">
        <f ca="1">W5</f>
        <v>43892</v>
      </c>
      <c r="X4" s="89"/>
      <c r="Y4" s="89"/>
      <c r="Z4" s="89"/>
      <c r="AA4" s="89"/>
      <c r="AB4" s="89"/>
      <c r="AC4" s="90"/>
      <c r="AD4" s="88">
        <f ca="1">AD5</f>
        <v>43899</v>
      </c>
      <c r="AE4" s="89"/>
      <c r="AF4" s="89"/>
      <c r="AG4" s="89"/>
      <c r="AH4" s="89"/>
      <c r="AI4" s="89"/>
      <c r="AJ4" s="90"/>
      <c r="AK4" s="88">
        <f ca="1">AK5</f>
        <v>43906</v>
      </c>
      <c r="AL4" s="89"/>
      <c r="AM4" s="89"/>
      <c r="AN4" s="89"/>
      <c r="AO4" s="89"/>
      <c r="AP4" s="89"/>
      <c r="AQ4" s="90"/>
      <c r="AR4" s="88">
        <f ca="1">AR5</f>
        <v>43913</v>
      </c>
      <c r="AS4" s="89"/>
      <c r="AT4" s="89"/>
      <c r="AU4" s="89"/>
      <c r="AV4" s="89"/>
      <c r="AW4" s="89"/>
      <c r="AX4" s="90"/>
      <c r="AY4" s="88">
        <f ca="1">AY5</f>
        <v>43920</v>
      </c>
      <c r="AZ4" s="89"/>
      <c r="BA4" s="89"/>
      <c r="BB4" s="89"/>
      <c r="BC4" s="89"/>
      <c r="BD4" s="89"/>
      <c r="BE4" s="90"/>
      <c r="BF4" s="88">
        <f ca="1">BF5</f>
        <v>43927</v>
      </c>
      <c r="BG4" s="89"/>
      <c r="BH4" s="89"/>
      <c r="BI4" s="89"/>
      <c r="BJ4" s="89"/>
      <c r="BK4" s="89"/>
      <c r="BL4" s="90"/>
      <c r="BM4" s="88">
        <f ca="1">BM5</f>
        <v>43934</v>
      </c>
      <c r="BN4" s="89"/>
      <c r="BO4" s="89"/>
      <c r="BP4" s="89"/>
      <c r="BQ4" s="89"/>
      <c r="BR4" s="89"/>
      <c r="BS4" s="90"/>
      <c r="BT4" s="88">
        <f ca="1">BT5</f>
        <v>43940</v>
      </c>
      <c r="BU4" s="89"/>
      <c r="BV4" s="89"/>
      <c r="BW4" s="89"/>
      <c r="BX4" s="89"/>
      <c r="BY4" s="89"/>
      <c r="BZ4" s="90"/>
      <c r="CA4" s="108"/>
      <c r="CB4" s="109"/>
      <c r="CC4" s="109"/>
      <c r="CD4" s="109"/>
      <c r="CE4" s="109"/>
      <c r="CF4" s="109"/>
      <c r="CG4" s="110"/>
    </row>
    <row r="5" spans="1:85" ht="15" customHeight="1" x14ac:dyDescent="0.2">
      <c r="A5" s="59" t="s">
        <v>33</v>
      </c>
      <c r="B5" s="87"/>
      <c r="C5" s="87"/>
      <c r="D5" s="87"/>
      <c r="E5" s="87"/>
      <c r="F5" s="87"/>
      <c r="G5" s="87"/>
      <c r="I5" s="11">
        <f ca="1">Project_Start-WEEKDAY(Project_Start,1)+2+7*(Display_Week-1)</f>
        <v>43878</v>
      </c>
      <c r="J5" s="10">
        <f ca="1">I5+1</f>
        <v>43879</v>
      </c>
      <c r="K5" s="10">
        <f t="shared" ref="K5:AX5" ca="1" si="0">J5+1</f>
        <v>43880</v>
      </c>
      <c r="L5" s="10">
        <f t="shared" ca="1" si="0"/>
        <v>43881</v>
      </c>
      <c r="M5" s="10">
        <f t="shared" ca="1" si="0"/>
        <v>43882</v>
      </c>
      <c r="N5" s="10">
        <f t="shared" ca="1" si="0"/>
        <v>43883</v>
      </c>
      <c r="O5" s="12">
        <f t="shared" ca="1" si="0"/>
        <v>43884</v>
      </c>
      <c r="P5" s="11">
        <f ca="1">O5+1</f>
        <v>43885</v>
      </c>
      <c r="Q5" s="10">
        <f ca="1">P5+1</f>
        <v>43886</v>
      </c>
      <c r="R5" s="10">
        <f t="shared" ca="1" si="0"/>
        <v>43887</v>
      </c>
      <c r="S5" s="10">
        <f t="shared" ca="1" si="0"/>
        <v>43888</v>
      </c>
      <c r="T5" s="10">
        <f t="shared" ca="1" si="0"/>
        <v>43889</v>
      </c>
      <c r="U5" s="10">
        <f t="shared" ca="1" si="0"/>
        <v>43890</v>
      </c>
      <c r="V5" s="12">
        <f t="shared" ca="1" si="0"/>
        <v>43891</v>
      </c>
      <c r="W5" s="11">
        <f ca="1">V5+1</f>
        <v>43892</v>
      </c>
      <c r="X5" s="10">
        <f ca="1">W5+1</f>
        <v>43893</v>
      </c>
      <c r="Y5" s="10">
        <f t="shared" ca="1" si="0"/>
        <v>43894</v>
      </c>
      <c r="Z5" s="10">
        <f t="shared" ca="1" si="0"/>
        <v>43895</v>
      </c>
      <c r="AA5" s="10">
        <f t="shared" ca="1" si="0"/>
        <v>43896</v>
      </c>
      <c r="AB5" s="10">
        <f t="shared" ca="1" si="0"/>
        <v>43897</v>
      </c>
      <c r="AC5" s="12">
        <f t="shared" ca="1" si="0"/>
        <v>43898</v>
      </c>
      <c r="AD5" s="11">
        <f ca="1">AC5+1</f>
        <v>43899</v>
      </c>
      <c r="AE5" s="10">
        <f ca="1">AD5+1</f>
        <v>43900</v>
      </c>
      <c r="AF5" s="10">
        <f t="shared" ca="1" si="0"/>
        <v>43901</v>
      </c>
      <c r="AG5" s="10">
        <f t="shared" ca="1" si="0"/>
        <v>43902</v>
      </c>
      <c r="AH5" s="10">
        <f t="shared" ca="1" si="0"/>
        <v>43903</v>
      </c>
      <c r="AI5" s="10">
        <f t="shared" ca="1" si="0"/>
        <v>43904</v>
      </c>
      <c r="AJ5" s="12">
        <f t="shared" ca="1" si="0"/>
        <v>43905</v>
      </c>
      <c r="AK5" s="11">
        <f ca="1">AJ5+1</f>
        <v>43906</v>
      </c>
      <c r="AL5" s="10">
        <f ca="1">AK5+1</f>
        <v>43907</v>
      </c>
      <c r="AM5" s="10">
        <f t="shared" ca="1" si="0"/>
        <v>43908</v>
      </c>
      <c r="AN5" s="10">
        <f t="shared" ca="1" si="0"/>
        <v>43909</v>
      </c>
      <c r="AO5" s="10">
        <f t="shared" ca="1" si="0"/>
        <v>43910</v>
      </c>
      <c r="AP5" s="10">
        <f t="shared" ca="1" si="0"/>
        <v>43911</v>
      </c>
      <c r="AQ5" s="12">
        <f t="shared" ca="1" si="0"/>
        <v>43912</v>
      </c>
      <c r="AR5" s="11">
        <f ca="1">AQ5+1</f>
        <v>43913</v>
      </c>
      <c r="AS5" s="10">
        <f ca="1">AR5+1</f>
        <v>43914</v>
      </c>
      <c r="AT5" s="10">
        <f t="shared" ca="1" si="0"/>
        <v>43915</v>
      </c>
      <c r="AU5" s="10">
        <f t="shared" ca="1" si="0"/>
        <v>43916</v>
      </c>
      <c r="AV5" s="10">
        <f t="shared" ca="1" si="0"/>
        <v>43917</v>
      </c>
      <c r="AW5" s="10">
        <f t="shared" ca="1" si="0"/>
        <v>43918</v>
      </c>
      <c r="AX5" s="12">
        <f t="shared" ca="1" si="0"/>
        <v>43919</v>
      </c>
      <c r="AY5" s="11">
        <f ca="1">AX5+1</f>
        <v>43920</v>
      </c>
      <c r="AZ5" s="10">
        <f ca="1">AY5+1</f>
        <v>43921</v>
      </c>
      <c r="BA5" s="10">
        <f t="shared" ref="BA5:BE5" ca="1" si="1">AZ5+1</f>
        <v>43922</v>
      </c>
      <c r="BB5" s="10">
        <f t="shared" ca="1" si="1"/>
        <v>43923</v>
      </c>
      <c r="BC5" s="10">
        <f t="shared" ca="1" si="1"/>
        <v>43924</v>
      </c>
      <c r="BD5" s="10">
        <f t="shared" ca="1" si="1"/>
        <v>43925</v>
      </c>
      <c r="BE5" s="12">
        <f t="shared" ca="1" si="1"/>
        <v>43926</v>
      </c>
      <c r="BF5" s="11">
        <f ca="1">BE5+1</f>
        <v>43927</v>
      </c>
      <c r="BG5" s="10">
        <f ca="1">BF5+1</f>
        <v>43928</v>
      </c>
      <c r="BH5" s="10">
        <f t="shared" ref="BH5:BL5" ca="1" si="2">BG5+1</f>
        <v>43929</v>
      </c>
      <c r="BI5" s="10">
        <f t="shared" ca="1" si="2"/>
        <v>43930</v>
      </c>
      <c r="BJ5" s="10">
        <f t="shared" ca="1" si="2"/>
        <v>43931</v>
      </c>
      <c r="BK5" s="10">
        <f t="shared" ca="1" si="2"/>
        <v>43932</v>
      </c>
      <c r="BL5" s="12">
        <f t="shared" ca="1" si="2"/>
        <v>43933</v>
      </c>
      <c r="BM5" s="11">
        <f ca="1">BL5+1</f>
        <v>43934</v>
      </c>
      <c r="BN5" s="10">
        <f ca="1">BM5+1</f>
        <v>43935</v>
      </c>
      <c r="BO5" s="10">
        <f t="shared" ref="BO5:BQ5" ca="1" si="3">BN5+1</f>
        <v>43936</v>
      </c>
      <c r="BP5" s="10">
        <f t="shared" ca="1" si="3"/>
        <v>43937</v>
      </c>
      <c r="BQ5" s="10">
        <f t="shared" ca="1" si="3"/>
        <v>43938</v>
      </c>
      <c r="BS5" s="12">
        <f ca="1">BQ5+1</f>
        <v>43939</v>
      </c>
      <c r="BT5" s="11">
        <f ca="1">BS5+1</f>
        <v>43940</v>
      </c>
      <c r="BU5" s="10">
        <f ca="1">BT5+1</f>
        <v>43941</v>
      </c>
      <c r="BV5" s="10">
        <f t="shared" ref="BV5" ca="1" si="4">BU5+1</f>
        <v>43942</v>
      </c>
      <c r="BW5" s="10">
        <f t="shared" ref="BW5" ca="1" si="5">BV5+1</f>
        <v>43943</v>
      </c>
      <c r="BX5" s="10">
        <f t="shared" ref="BX5" ca="1" si="6">BW5+1</f>
        <v>43944</v>
      </c>
      <c r="BY5" s="11">
        <f ca="1">BX5+1</f>
        <v>43945</v>
      </c>
      <c r="BZ5" s="12">
        <f ca="1">BY5+1</f>
        <v>43946</v>
      </c>
      <c r="CA5" s="111"/>
      <c r="CB5" s="112"/>
      <c r="CC5" s="112"/>
      <c r="CD5" s="112"/>
      <c r="CE5" s="112"/>
      <c r="CF5" s="111"/>
      <c r="CG5" s="113"/>
    </row>
    <row r="6" spans="1:85" ht="30" customHeight="1" thickBot="1" x14ac:dyDescent="0.25">
      <c r="A6" s="59" t="s">
        <v>34</v>
      </c>
      <c r="B6" s="8" t="s">
        <v>10</v>
      </c>
      <c r="C6" s="9" t="s">
        <v>4</v>
      </c>
      <c r="D6" s="9" t="s">
        <v>3</v>
      </c>
      <c r="E6" s="9" t="s">
        <v>6</v>
      </c>
      <c r="F6" s="9" t="s">
        <v>7</v>
      </c>
      <c r="G6" s="9"/>
      <c r="H6" s="9" t="s">
        <v>8</v>
      </c>
      <c r="I6" s="13" t="str">
        <f t="shared" ref="I6" ca="1" si="7">LEFT(TEXT(I5,"ddd"),1)</f>
        <v>M</v>
      </c>
      <c r="J6" s="13" t="str">
        <f t="shared" ref="J6:AR6" ca="1" si="8">LEFT(TEXT(J5,"ddd"),1)</f>
        <v>T</v>
      </c>
      <c r="K6" s="13" t="str">
        <f t="shared" ca="1" si="8"/>
        <v>W</v>
      </c>
      <c r="L6" s="13" t="str">
        <f t="shared" ca="1" si="8"/>
        <v>T</v>
      </c>
      <c r="M6" s="13" t="str">
        <f t="shared" ca="1" si="8"/>
        <v>F</v>
      </c>
      <c r="N6" s="13" t="str">
        <f t="shared" ca="1" si="8"/>
        <v>S</v>
      </c>
      <c r="O6" s="13" t="str">
        <f t="shared" ca="1" si="8"/>
        <v>S</v>
      </c>
      <c r="P6" s="13" t="str">
        <f t="shared" ca="1" si="8"/>
        <v>M</v>
      </c>
      <c r="Q6" s="13" t="str">
        <f t="shared" ca="1" si="8"/>
        <v>T</v>
      </c>
      <c r="R6" s="13" t="str">
        <f t="shared" ca="1" si="8"/>
        <v>W</v>
      </c>
      <c r="S6" s="13" t="str">
        <f t="shared" ca="1" si="8"/>
        <v>T</v>
      </c>
      <c r="T6" s="13" t="str">
        <f t="shared" ca="1" si="8"/>
        <v>F</v>
      </c>
      <c r="U6" s="13" t="str">
        <f t="shared" ca="1" si="8"/>
        <v>S</v>
      </c>
      <c r="V6" s="13" t="str">
        <f t="shared" ca="1" si="8"/>
        <v>S</v>
      </c>
      <c r="W6" s="13" t="str">
        <f t="shared" ca="1" si="8"/>
        <v>M</v>
      </c>
      <c r="X6" s="13" t="str">
        <f t="shared" ca="1" si="8"/>
        <v>T</v>
      </c>
      <c r="Y6" s="13" t="str">
        <f t="shared" ca="1" si="8"/>
        <v>W</v>
      </c>
      <c r="Z6" s="13" t="str">
        <f t="shared" ca="1" si="8"/>
        <v>T</v>
      </c>
      <c r="AA6" s="13" t="str">
        <f t="shared" ca="1" si="8"/>
        <v>F</v>
      </c>
      <c r="AB6" s="13" t="str">
        <f t="shared" ca="1" si="8"/>
        <v>S</v>
      </c>
      <c r="AC6" s="13" t="str">
        <f t="shared" ca="1" si="8"/>
        <v>S</v>
      </c>
      <c r="AD6" s="13" t="str">
        <f t="shared" ca="1" si="8"/>
        <v>M</v>
      </c>
      <c r="AE6" s="13" t="str">
        <f t="shared" ca="1" si="8"/>
        <v>T</v>
      </c>
      <c r="AF6" s="13" t="str">
        <f t="shared" ca="1" si="8"/>
        <v>W</v>
      </c>
      <c r="AG6" s="13" t="str">
        <f t="shared" ca="1" si="8"/>
        <v>T</v>
      </c>
      <c r="AH6" s="13" t="str">
        <f t="shared" ca="1" si="8"/>
        <v>F</v>
      </c>
      <c r="AI6" s="13" t="str">
        <f t="shared" ca="1" si="8"/>
        <v>S</v>
      </c>
      <c r="AJ6" s="13" t="str">
        <f t="shared" ca="1" si="8"/>
        <v>S</v>
      </c>
      <c r="AK6" s="13" t="str">
        <f t="shared" ca="1" si="8"/>
        <v>M</v>
      </c>
      <c r="AL6" s="13" t="str">
        <f t="shared" ca="1" si="8"/>
        <v>T</v>
      </c>
      <c r="AM6" s="13" t="str">
        <f t="shared" ca="1" si="8"/>
        <v>W</v>
      </c>
      <c r="AN6" s="13" t="str">
        <f t="shared" ca="1" si="8"/>
        <v>T</v>
      </c>
      <c r="AO6" s="13" t="str">
        <f t="shared" ca="1" si="8"/>
        <v>F</v>
      </c>
      <c r="AP6" s="13" t="str">
        <f t="shared" ca="1" si="8"/>
        <v>S</v>
      </c>
      <c r="AQ6" s="13" t="str">
        <f t="shared" ca="1" si="8"/>
        <v>S</v>
      </c>
      <c r="AR6" s="13" t="str">
        <f t="shared" ca="1" si="8"/>
        <v>M</v>
      </c>
      <c r="AS6" s="13" t="str">
        <f t="shared" ref="AS6:BZ6" ca="1" si="9">LEFT(TEXT(AS5,"ddd"),1)</f>
        <v>T</v>
      </c>
      <c r="AT6" s="13" t="str">
        <f t="shared" ca="1" si="9"/>
        <v>W</v>
      </c>
      <c r="AU6" s="13" t="str">
        <f t="shared" ca="1" si="9"/>
        <v>T</v>
      </c>
      <c r="AV6" s="13" t="str">
        <f t="shared" ca="1" si="9"/>
        <v>F</v>
      </c>
      <c r="AW6" s="13" t="str">
        <f t="shared" ca="1" si="9"/>
        <v>S</v>
      </c>
      <c r="AX6" s="13" t="str">
        <f t="shared" ca="1" si="9"/>
        <v>S</v>
      </c>
      <c r="AY6" s="13" t="str">
        <f t="shared" ca="1" si="9"/>
        <v>M</v>
      </c>
      <c r="AZ6" s="13" t="str">
        <f t="shared" ca="1" si="9"/>
        <v>T</v>
      </c>
      <c r="BA6" s="13" t="str">
        <f t="shared" ca="1" si="9"/>
        <v>W</v>
      </c>
      <c r="BB6" s="13" t="str">
        <f t="shared" ca="1" si="9"/>
        <v>T</v>
      </c>
      <c r="BC6" s="13" t="str">
        <f t="shared" ca="1" si="9"/>
        <v>F</v>
      </c>
      <c r="BD6" s="13" t="str">
        <f t="shared" ca="1" si="9"/>
        <v>S</v>
      </c>
      <c r="BE6" s="13" t="str">
        <f t="shared" ca="1" si="9"/>
        <v>S</v>
      </c>
      <c r="BF6" s="13" t="str">
        <f t="shared" ca="1" si="9"/>
        <v>M</v>
      </c>
      <c r="BG6" s="13" t="str">
        <f t="shared" ca="1" si="9"/>
        <v>T</v>
      </c>
      <c r="BH6" s="13" t="str">
        <f t="shared" ca="1" si="9"/>
        <v>W</v>
      </c>
      <c r="BI6" s="13" t="str">
        <f t="shared" ca="1" si="9"/>
        <v>T</v>
      </c>
      <c r="BJ6" s="13" t="str">
        <f t="shared" ca="1" si="9"/>
        <v>F</v>
      </c>
      <c r="BK6" s="13" t="str">
        <f t="shared" ca="1" si="9"/>
        <v>S</v>
      </c>
      <c r="BL6" s="13" t="str">
        <f t="shared" ca="1" si="9"/>
        <v>S</v>
      </c>
      <c r="BM6" s="13" t="str">
        <f t="shared" ca="1" si="9"/>
        <v>M</v>
      </c>
      <c r="BN6" s="13" t="str">
        <f t="shared" ca="1" si="9"/>
        <v>T</v>
      </c>
      <c r="BO6" s="13" t="str">
        <f t="shared" ca="1" si="9"/>
        <v>W</v>
      </c>
      <c r="BP6" s="13" t="str">
        <f t="shared" ca="1" si="9"/>
        <v>T</v>
      </c>
      <c r="BQ6" s="13" t="str">
        <f t="shared" ca="1" si="9"/>
        <v>F</v>
      </c>
      <c r="BS6" s="13" t="str">
        <f t="shared" ca="1" si="9"/>
        <v>S</v>
      </c>
      <c r="BT6" s="13" t="str">
        <f t="shared" ca="1" si="9"/>
        <v>S</v>
      </c>
      <c r="BU6" s="13" t="str">
        <f t="shared" ca="1" si="9"/>
        <v>M</v>
      </c>
      <c r="BV6" s="13" t="str">
        <f t="shared" ca="1" si="9"/>
        <v>T</v>
      </c>
      <c r="BW6" s="13" t="str">
        <f t="shared" ca="1" si="9"/>
        <v>W</v>
      </c>
      <c r="BX6" s="13" t="str">
        <f t="shared" ca="1" si="9"/>
        <v>T</v>
      </c>
      <c r="BY6" s="13" t="str">
        <f t="shared" ca="1" si="9"/>
        <v>F</v>
      </c>
      <c r="BZ6" s="13" t="str">
        <f t="shared" ca="1" si="9"/>
        <v>S</v>
      </c>
    </row>
    <row r="7" spans="1:85" ht="30" hidden="1" customHeight="1" thickBot="1" x14ac:dyDescent="0.25">
      <c r="A7" s="58" t="s">
        <v>29</v>
      </c>
      <c r="C7" s="62"/>
      <c r="E7"/>
      <c r="H7" t="str">
        <f>IF(OR(ISBLANK(task_start),ISBLANK(task_end)),"",task_end-task_start+1)</f>
        <v/>
      </c>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row>
    <row r="8" spans="1:85" s="3" customFormat="1" ht="30" customHeight="1" thickBot="1" x14ac:dyDescent="0.25">
      <c r="A8" s="59" t="s">
        <v>35</v>
      </c>
      <c r="B8" s="18" t="s">
        <v>39</v>
      </c>
      <c r="C8" s="71"/>
      <c r="D8" s="19"/>
      <c r="E8" s="20"/>
      <c r="F8" s="21"/>
      <c r="G8" s="17"/>
      <c r="H8" s="17" t="str">
        <f t="shared" ref="H8:H46" si="10">IF(OR(ISBLANK(task_start),ISBLANK(task_end)),"",task_end-task_start+1)</f>
        <v/>
      </c>
      <c r="I8" s="44"/>
      <c r="J8" s="44"/>
      <c r="K8" s="44"/>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row>
    <row r="9" spans="1:85" s="3" customFormat="1" ht="30" customHeight="1" thickBot="1" x14ac:dyDescent="0.25">
      <c r="A9" s="59" t="s">
        <v>36</v>
      </c>
      <c r="B9" s="80" t="s">
        <v>44</v>
      </c>
      <c r="C9" s="72" t="s">
        <v>47</v>
      </c>
      <c r="D9" s="22">
        <v>0.15</v>
      </c>
      <c r="E9" s="66">
        <f ca="1">Project_Start</f>
        <v>43878</v>
      </c>
      <c r="F9" s="66">
        <f ca="1">E9+10</f>
        <v>43888</v>
      </c>
      <c r="G9" s="17"/>
      <c r="H9" s="17">
        <f t="shared" ca="1" si="10"/>
        <v>11</v>
      </c>
      <c r="I9" s="44"/>
      <c r="J9" s="44"/>
      <c r="K9" s="44"/>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row>
    <row r="10" spans="1:85" s="3" customFormat="1" ht="30" customHeight="1" thickBot="1" x14ac:dyDescent="0.25">
      <c r="A10" s="59" t="s">
        <v>37</v>
      </c>
      <c r="B10" s="80" t="s">
        <v>45</v>
      </c>
      <c r="C10" s="72" t="s">
        <v>60</v>
      </c>
      <c r="D10" s="22">
        <v>0</v>
      </c>
      <c r="E10" s="66">
        <f ca="1">F9</f>
        <v>43888</v>
      </c>
      <c r="F10" s="66">
        <f ca="1">E10+5</f>
        <v>43893</v>
      </c>
      <c r="G10" s="17"/>
      <c r="H10" s="17">
        <f t="shared" ca="1" si="10"/>
        <v>6</v>
      </c>
      <c r="I10" s="44"/>
      <c r="J10" s="44"/>
      <c r="K10" s="44"/>
      <c r="L10" s="44"/>
      <c r="M10" s="44"/>
      <c r="N10" s="44"/>
      <c r="O10" s="44"/>
      <c r="P10" s="44"/>
      <c r="Q10" s="44"/>
      <c r="R10" s="44"/>
      <c r="S10" s="44"/>
      <c r="T10" s="44"/>
      <c r="U10" s="45"/>
      <c r="V10" s="45"/>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row>
    <row r="11" spans="1:85" s="3" customFormat="1" ht="30" customHeight="1" thickBot="1" x14ac:dyDescent="0.25">
      <c r="A11" s="58"/>
      <c r="B11" s="80" t="s">
        <v>46</v>
      </c>
      <c r="C11" s="72" t="s">
        <v>61</v>
      </c>
      <c r="D11" s="22">
        <v>0</v>
      </c>
      <c r="E11" s="66">
        <f ca="1">F10</f>
        <v>43893</v>
      </c>
      <c r="F11" s="66">
        <f ca="1">E11+4</f>
        <v>43897</v>
      </c>
      <c r="G11" s="17"/>
      <c r="H11" s="17">
        <f t="shared" ca="1" si="10"/>
        <v>5</v>
      </c>
      <c r="I11" s="44"/>
      <c r="J11" s="44"/>
      <c r="K11" s="44"/>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row>
    <row r="12" spans="1:85" s="3" customFormat="1" ht="30" customHeight="1" thickBot="1" x14ac:dyDescent="0.25">
      <c r="A12" s="58"/>
      <c r="B12" s="80" t="s">
        <v>59</v>
      </c>
      <c r="C12" s="72" t="s">
        <v>62</v>
      </c>
      <c r="D12" s="22">
        <v>0</v>
      </c>
      <c r="E12" s="66">
        <f ca="1">F11</f>
        <v>43897</v>
      </c>
      <c r="F12" s="66">
        <f ca="1">E12+5</f>
        <v>43902</v>
      </c>
      <c r="G12" s="17"/>
      <c r="H12" s="17">
        <f t="shared" ca="1" si="10"/>
        <v>6</v>
      </c>
      <c r="I12" s="44"/>
      <c r="J12" s="44"/>
      <c r="K12" s="44"/>
      <c r="L12" s="44"/>
      <c r="M12" s="44"/>
      <c r="N12" s="44"/>
      <c r="O12" s="44"/>
      <c r="P12" s="44"/>
      <c r="Q12" s="44"/>
      <c r="R12" s="44"/>
      <c r="S12" s="44"/>
      <c r="T12" s="44"/>
      <c r="U12" s="44"/>
      <c r="V12" s="44"/>
      <c r="W12" s="44"/>
      <c r="X12" s="44"/>
      <c r="Y12" s="45"/>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row>
    <row r="13" spans="1:85" s="3" customFormat="1" ht="30" customHeight="1" thickBot="1" x14ac:dyDescent="0.25">
      <c r="A13" s="58"/>
      <c r="B13" s="80" t="s">
        <v>64</v>
      </c>
      <c r="C13" s="72" t="s">
        <v>63</v>
      </c>
      <c r="D13" s="22">
        <v>0</v>
      </c>
      <c r="E13" s="66">
        <f ca="1">E9+1</f>
        <v>43879</v>
      </c>
      <c r="F13" s="66">
        <f ca="1">F12</f>
        <v>43902</v>
      </c>
      <c r="G13" s="17"/>
      <c r="H13" s="17">
        <f t="shared" ca="1" si="10"/>
        <v>24</v>
      </c>
      <c r="I13" s="44"/>
      <c r="J13" s="44"/>
      <c r="K13" s="44"/>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row>
    <row r="14" spans="1:85" s="3" customFormat="1" ht="30" customHeight="1" thickBot="1" x14ac:dyDescent="0.25">
      <c r="A14" s="59" t="s">
        <v>38</v>
      </c>
      <c r="B14" s="23" t="s">
        <v>40</v>
      </c>
      <c r="C14" s="73"/>
      <c r="D14" s="24"/>
      <c r="E14" s="25"/>
      <c r="F14" s="26"/>
      <c r="G14" s="17"/>
      <c r="H14" s="17" t="str">
        <f t="shared" si="10"/>
        <v/>
      </c>
      <c r="I14" s="44"/>
      <c r="J14" s="44"/>
      <c r="K14" s="44"/>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row>
    <row r="15" spans="1:85" s="3" customFormat="1" ht="30" customHeight="1" thickBot="1" x14ac:dyDescent="0.25">
      <c r="A15" s="59"/>
      <c r="B15" s="81" t="s">
        <v>65</v>
      </c>
      <c r="C15" s="74" t="s">
        <v>47</v>
      </c>
      <c r="D15" s="27">
        <v>0</v>
      </c>
      <c r="E15" s="67">
        <f ca="1">E13</f>
        <v>43879</v>
      </c>
      <c r="F15" s="67">
        <f ca="1">E15+4</f>
        <v>43883</v>
      </c>
      <c r="G15" s="17"/>
      <c r="H15" s="17">
        <f t="shared" ca="1" si="10"/>
        <v>5</v>
      </c>
      <c r="I15" s="44"/>
      <c r="J15" s="44"/>
      <c r="K15" s="44"/>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row>
    <row r="16" spans="1:85" s="3" customFormat="1" ht="30" customHeight="1" thickBot="1" x14ac:dyDescent="0.25">
      <c r="A16" s="58"/>
      <c r="B16" s="81" t="s">
        <v>66</v>
      </c>
      <c r="C16" s="74" t="s">
        <v>60</v>
      </c>
      <c r="D16" s="27">
        <v>0</v>
      </c>
      <c r="E16" s="67">
        <f ca="1">E15+2</f>
        <v>43881</v>
      </c>
      <c r="F16" s="67">
        <f ca="1">E16+5</f>
        <v>43886</v>
      </c>
      <c r="G16" s="17"/>
      <c r="H16" s="17">
        <f t="shared" ca="1" si="10"/>
        <v>6</v>
      </c>
      <c r="I16" s="44"/>
      <c r="J16" s="44"/>
      <c r="K16" s="44"/>
      <c r="L16" s="44"/>
      <c r="M16" s="44"/>
      <c r="N16" s="44"/>
      <c r="O16" s="44"/>
      <c r="P16" s="44"/>
      <c r="Q16" s="44"/>
      <c r="R16" s="44"/>
      <c r="S16" s="44"/>
      <c r="T16" s="44"/>
      <c r="U16" s="45"/>
      <c r="V16" s="45"/>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row>
    <row r="17" spans="1:78" s="3" customFormat="1" ht="30" customHeight="1" thickBot="1" x14ac:dyDescent="0.25">
      <c r="A17" s="58"/>
      <c r="B17" s="81" t="s">
        <v>64</v>
      </c>
      <c r="C17" s="74" t="s">
        <v>61</v>
      </c>
      <c r="D17" s="27">
        <v>0</v>
      </c>
      <c r="E17" s="67">
        <f ca="1">E15</f>
        <v>43879</v>
      </c>
      <c r="F17" s="67">
        <f ca="1">F16</f>
        <v>43886</v>
      </c>
      <c r="G17" s="17"/>
      <c r="H17" s="17">
        <f t="shared" ca="1" si="10"/>
        <v>8</v>
      </c>
      <c r="I17" s="44"/>
      <c r="J17" s="44"/>
      <c r="K17" s="4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row>
    <row r="18" spans="1:78" s="3" customFormat="1" ht="30" customHeight="1" thickBot="1" x14ac:dyDescent="0.25">
      <c r="A18" s="58"/>
      <c r="B18" s="81" t="s">
        <v>67</v>
      </c>
      <c r="C18" s="74" t="s">
        <v>62</v>
      </c>
      <c r="D18" s="27">
        <v>0</v>
      </c>
      <c r="E18" s="67">
        <f ca="1">E17</f>
        <v>43879</v>
      </c>
      <c r="F18" s="67">
        <f ca="1">E18+2</f>
        <v>43881</v>
      </c>
      <c r="G18" s="17"/>
      <c r="H18" s="17">
        <f t="shared" ca="1" si="10"/>
        <v>3</v>
      </c>
      <c r="I18" s="44"/>
      <c r="J18" s="44"/>
      <c r="K18" s="44"/>
      <c r="L18" s="44"/>
      <c r="M18" s="44"/>
      <c r="N18" s="44"/>
      <c r="O18" s="44"/>
      <c r="P18" s="44"/>
      <c r="Q18" s="44"/>
      <c r="R18" s="44"/>
      <c r="S18" s="44"/>
      <c r="T18" s="44"/>
      <c r="U18" s="44"/>
      <c r="V18" s="44"/>
      <c r="W18" s="44"/>
      <c r="X18" s="44"/>
      <c r="Y18" s="45"/>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row>
    <row r="19" spans="1:78" s="3" customFormat="1" ht="30" customHeight="1" thickBot="1" x14ac:dyDescent="0.25">
      <c r="A19" s="58"/>
      <c r="B19" s="81" t="s">
        <v>68</v>
      </c>
      <c r="C19" s="74" t="s">
        <v>63</v>
      </c>
      <c r="D19" s="27">
        <v>0</v>
      </c>
      <c r="E19" s="67">
        <f ca="1">E18</f>
        <v>43879</v>
      </c>
      <c r="F19" s="67">
        <f ca="1">E19+3</f>
        <v>43882</v>
      </c>
      <c r="G19" s="17"/>
      <c r="H19" s="17">
        <f t="shared" ca="1" si="10"/>
        <v>4</v>
      </c>
      <c r="I19" s="44"/>
      <c r="J19" s="44"/>
      <c r="K19" s="4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row>
    <row r="20" spans="1:78" s="3" customFormat="1" ht="30" customHeight="1" thickBot="1" x14ac:dyDescent="0.25">
      <c r="A20" s="58" t="s">
        <v>26</v>
      </c>
      <c r="B20" s="28" t="s">
        <v>41</v>
      </c>
      <c r="C20" s="75"/>
      <c r="D20" s="29"/>
      <c r="E20" s="30"/>
      <c r="F20" s="31"/>
      <c r="G20" s="17"/>
      <c r="H20" s="17" t="str">
        <f t="shared" si="10"/>
        <v/>
      </c>
      <c r="I20" s="44"/>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row>
    <row r="21" spans="1:78" s="3" customFormat="1" ht="30" customHeight="1" thickBot="1" x14ac:dyDescent="0.25">
      <c r="A21" s="58"/>
      <c r="B21" s="82" t="s">
        <v>69</v>
      </c>
      <c r="C21" s="76" t="s">
        <v>47</v>
      </c>
      <c r="D21" s="32">
        <v>0</v>
      </c>
      <c r="E21" s="68">
        <f ca="1">E9+15</f>
        <v>43893</v>
      </c>
      <c r="F21" s="68">
        <f ca="1">E21+5</f>
        <v>43898</v>
      </c>
      <c r="G21" s="17"/>
      <c r="H21" s="17">
        <f t="shared" ca="1" si="10"/>
        <v>6</v>
      </c>
      <c r="I21" s="44"/>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row>
    <row r="22" spans="1:78" s="3" customFormat="1" ht="30" customHeight="1" thickBot="1" x14ac:dyDescent="0.25">
      <c r="A22" s="58"/>
      <c r="B22" s="82" t="s">
        <v>64</v>
      </c>
      <c r="C22" s="76" t="s">
        <v>60</v>
      </c>
      <c r="D22" s="32">
        <v>0</v>
      </c>
      <c r="E22" s="68">
        <f ca="1">F21+1</f>
        <v>43899</v>
      </c>
      <c r="F22" s="68">
        <f ca="1">E22+4</f>
        <v>43903</v>
      </c>
      <c r="G22" s="17"/>
      <c r="H22" s="17">
        <f t="shared" ca="1" si="10"/>
        <v>5</v>
      </c>
      <c r="I22" s="44"/>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row>
    <row r="23" spans="1:78" s="3" customFormat="1" ht="30" customHeight="1" thickBot="1" x14ac:dyDescent="0.25">
      <c r="A23" s="58"/>
      <c r="B23" s="82" t="s">
        <v>71</v>
      </c>
      <c r="C23" s="76" t="s">
        <v>61</v>
      </c>
      <c r="D23" s="32">
        <v>0</v>
      </c>
      <c r="E23" s="68">
        <f ca="1">E22+5</f>
        <v>43904</v>
      </c>
      <c r="F23" s="68">
        <f ca="1">E23+5</f>
        <v>43909</v>
      </c>
      <c r="G23" s="17"/>
      <c r="H23" s="17">
        <f t="shared" ca="1" si="10"/>
        <v>6</v>
      </c>
      <c r="I23" s="44"/>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row>
    <row r="24" spans="1:78" s="3" customFormat="1" ht="30" customHeight="1" thickBot="1" x14ac:dyDescent="0.25">
      <c r="A24" s="58"/>
      <c r="B24" s="82" t="s">
        <v>70</v>
      </c>
      <c r="C24" s="76" t="s">
        <v>62</v>
      </c>
      <c r="D24" s="32">
        <v>0</v>
      </c>
      <c r="E24" s="68">
        <f ca="1">F23+1</f>
        <v>43910</v>
      </c>
      <c r="F24" s="68">
        <f ca="1">E24+4</f>
        <v>43914</v>
      </c>
      <c r="G24" s="17"/>
      <c r="H24" s="17">
        <f t="shared" ca="1" si="10"/>
        <v>5</v>
      </c>
      <c r="I24" s="44"/>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row>
    <row r="25" spans="1:78" s="3" customFormat="1" ht="30" customHeight="1" thickBot="1" x14ac:dyDescent="0.25">
      <c r="A25" s="58"/>
      <c r="B25" s="82" t="s">
        <v>0</v>
      </c>
      <c r="C25" s="76" t="s">
        <v>63</v>
      </c>
      <c r="D25" s="32">
        <v>0</v>
      </c>
      <c r="E25" s="68">
        <f ca="1">E23</f>
        <v>43904</v>
      </c>
      <c r="F25" s="68">
        <f ca="1">E25+4</f>
        <v>43908</v>
      </c>
      <c r="G25" s="17"/>
      <c r="H25" s="17">
        <f t="shared" ca="1" si="10"/>
        <v>5</v>
      </c>
      <c r="I25" s="44"/>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row>
    <row r="26" spans="1:78" s="3" customFormat="1" ht="30" customHeight="1" thickBot="1" x14ac:dyDescent="0.25">
      <c r="A26" s="58" t="s">
        <v>26</v>
      </c>
      <c r="B26" s="33" t="s">
        <v>42</v>
      </c>
      <c r="C26" s="77"/>
      <c r="D26" s="34"/>
      <c r="E26" s="35"/>
      <c r="F26" s="36"/>
      <c r="G26" s="17"/>
      <c r="H26" s="17" t="str">
        <f t="shared" si="10"/>
        <v/>
      </c>
      <c r="I26" s="44"/>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row>
    <row r="27" spans="1:78" s="3" customFormat="1" ht="30" customHeight="1" thickBot="1" x14ac:dyDescent="0.25">
      <c r="A27" s="58"/>
      <c r="B27" s="83" t="s">
        <v>64</v>
      </c>
      <c r="C27" s="78" t="s">
        <v>47</v>
      </c>
      <c r="D27" s="37">
        <v>0</v>
      </c>
      <c r="E27" s="69">
        <f ca="1">F24</f>
        <v>43914</v>
      </c>
      <c r="F27" s="69">
        <v>43929</v>
      </c>
      <c r="G27" s="17"/>
      <c r="H27" s="17">
        <f t="shared" ca="1" si="10"/>
        <v>16</v>
      </c>
      <c r="I27" s="44"/>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row>
    <row r="28" spans="1:78" s="3" customFormat="1" ht="30" customHeight="1" thickBot="1" x14ac:dyDescent="0.25">
      <c r="A28" s="58"/>
      <c r="B28" s="83" t="s">
        <v>72</v>
      </c>
      <c r="C28" s="78" t="s">
        <v>60</v>
      </c>
      <c r="D28" s="37">
        <v>0</v>
      </c>
      <c r="E28" s="69">
        <v>43914</v>
      </c>
      <c r="F28" s="69">
        <v>43922</v>
      </c>
      <c r="G28" s="17"/>
      <c r="H28" s="17">
        <f t="shared" si="10"/>
        <v>9</v>
      </c>
      <c r="I28" s="44"/>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row>
    <row r="29" spans="1:78" s="3" customFormat="1" ht="30" customHeight="1" thickBot="1" x14ac:dyDescent="0.25">
      <c r="A29" s="58"/>
      <c r="B29" s="83" t="s">
        <v>73</v>
      </c>
      <c r="C29" s="78" t="s">
        <v>61</v>
      </c>
      <c r="D29" s="37">
        <v>0</v>
      </c>
      <c r="E29" s="69">
        <v>43917</v>
      </c>
      <c r="F29" s="69">
        <v>43926</v>
      </c>
      <c r="G29" s="17"/>
      <c r="H29" s="17">
        <f t="shared" si="10"/>
        <v>10</v>
      </c>
      <c r="I29" s="44"/>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row>
    <row r="30" spans="1:78" s="3" customFormat="1" ht="30" customHeight="1" thickBot="1" x14ac:dyDescent="0.25">
      <c r="A30" s="58"/>
      <c r="B30" s="83" t="s">
        <v>74</v>
      </c>
      <c r="C30" s="78" t="s">
        <v>62</v>
      </c>
      <c r="D30" s="37">
        <v>0</v>
      </c>
      <c r="E30" s="69">
        <v>43920</v>
      </c>
      <c r="F30" s="69">
        <v>43929</v>
      </c>
      <c r="G30" s="17"/>
      <c r="H30" s="17">
        <f t="shared" si="10"/>
        <v>10</v>
      </c>
      <c r="I30" s="44"/>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row>
    <row r="31" spans="1:78" s="3" customFormat="1" ht="30" customHeight="1" thickBot="1" x14ac:dyDescent="0.25">
      <c r="A31" s="58"/>
      <c r="B31" s="83" t="s">
        <v>75</v>
      </c>
      <c r="C31" s="78" t="s">
        <v>63</v>
      </c>
      <c r="D31" s="37">
        <v>0</v>
      </c>
      <c r="E31" s="69">
        <v>43922</v>
      </c>
      <c r="F31" s="69">
        <v>43927</v>
      </c>
      <c r="G31" s="17"/>
      <c r="H31" s="17">
        <f t="shared" si="10"/>
        <v>6</v>
      </c>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row>
    <row r="32" spans="1:78" s="3" customFormat="1" ht="30" customHeight="1" thickBot="1" x14ac:dyDescent="0.25">
      <c r="A32" s="58"/>
      <c r="B32" s="92" t="s">
        <v>43</v>
      </c>
      <c r="C32" s="93"/>
      <c r="D32" s="94"/>
      <c r="E32" s="95"/>
      <c r="F32" s="95"/>
      <c r="G32" s="17"/>
      <c r="H32" s="17"/>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row>
    <row r="33" spans="1:64" s="3" customFormat="1" ht="30" customHeight="1" thickBot="1" x14ac:dyDescent="0.25">
      <c r="A33" s="58"/>
      <c r="B33" s="96" t="s">
        <v>76</v>
      </c>
      <c r="C33" s="97" t="s">
        <v>62</v>
      </c>
      <c r="D33" s="98">
        <v>0</v>
      </c>
      <c r="E33" s="99">
        <v>43915</v>
      </c>
      <c r="F33" s="99">
        <v>43936</v>
      </c>
      <c r="G33" s="17"/>
      <c r="H33" s="17"/>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row>
    <row r="34" spans="1:64" s="3" customFormat="1" ht="30" customHeight="1" thickBot="1" x14ac:dyDescent="0.25">
      <c r="A34" s="58"/>
      <c r="B34" s="114" t="s">
        <v>77</v>
      </c>
      <c r="C34" s="115"/>
      <c r="D34" s="116"/>
      <c r="E34" s="117"/>
      <c r="F34" s="117"/>
      <c r="G34" s="17"/>
      <c r="H34" s="17"/>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row>
    <row r="35" spans="1:64" s="3" customFormat="1" ht="30" customHeight="1" thickBot="1" x14ac:dyDescent="0.25">
      <c r="A35" s="58"/>
      <c r="B35" s="118" t="s">
        <v>78</v>
      </c>
      <c r="C35" s="119" t="s">
        <v>60</v>
      </c>
      <c r="D35" s="120">
        <v>0</v>
      </c>
      <c r="E35" s="121">
        <v>43920</v>
      </c>
      <c r="F35" s="121">
        <v>43941</v>
      </c>
      <c r="G35" s="17"/>
      <c r="H35" s="17"/>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row>
    <row r="36" spans="1:64" s="3" customFormat="1" ht="30" customHeight="1" thickBot="1" x14ac:dyDescent="0.25">
      <c r="A36" s="58"/>
      <c r="B36" s="100" t="s">
        <v>48</v>
      </c>
      <c r="C36" s="101"/>
      <c r="D36" s="102"/>
      <c r="E36" s="103"/>
      <c r="F36" s="103"/>
      <c r="G36" s="17"/>
      <c r="H36" s="17"/>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row>
    <row r="37" spans="1:64" s="3" customFormat="1" ht="30" customHeight="1" thickBot="1" x14ac:dyDescent="0.25">
      <c r="A37" s="58"/>
      <c r="B37" s="104" t="s">
        <v>49</v>
      </c>
      <c r="C37" s="105" t="s">
        <v>57</v>
      </c>
      <c r="D37" s="106">
        <v>1</v>
      </c>
      <c r="E37" s="107" t="s">
        <v>58</v>
      </c>
      <c r="F37" s="107" t="s">
        <v>58</v>
      </c>
      <c r="G37" s="17"/>
      <c r="H37" s="17"/>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row>
    <row r="38" spans="1:64" s="3" customFormat="1" ht="30" customHeight="1" thickBot="1" x14ac:dyDescent="0.25">
      <c r="A38" s="58"/>
      <c r="B38" s="104" t="s">
        <v>50</v>
      </c>
      <c r="C38" s="105" t="s">
        <v>57</v>
      </c>
      <c r="D38" s="106">
        <v>1</v>
      </c>
      <c r="E38" s="107" t="s">
        <v>58</v>
      </c>
      <c r="F38" s="107">
        <v>43878</v>
      </c>
      <c r="G38" s="17"/>
      <c r="H38" s="17"/>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row>
    <row r="39" spans="1:64" s="3" customFormat="1" ht="30" customHeight="1" thickBot="1" x14ac:dyDescent="0.25">
      <c r="A39" s="58"/>
      <c r="B39" s="104" t="s">
        <v>51</v>
      </c>
      <c r="C39" s="105" t="s">
        <v>57</v>
      </c>
      <c r="D39" s="106">
        <v>0</v>
      </c>
      <c r="E39" s="107">
        <f>F38</f>
        <v>43878</v>
      </c>
      <c r="F39" s="107">
        <v>43903</v>
      </c>
      <c r="G39" s="17"/>
      <c r="H39" s="17"/>
      <c r="I39" s="44"/>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row>
    <row r="40" spans="1:64" s="3" customFormat="1" ht="30" customHeight="1" thickBot="1" x14ac:dyDescent="0.25">
      <c r="A40" s="58"/>
      <c r="B40" s="104" t="s">
        <v>52</v>
      </c>
      <c r="C40" s="105" t="s">
        <v>57</v>
      </c>
      <c r="D40" s="106">
        <v>0</v>
      </c>
      <c r="E40" s="107">
        <f>F39</f>
        <v>43903</v>
      </c>
      <c r="F40" s="107">
        <v>43910</v>
      </c>
      <c r="G40" s="17"/>
      <c r="H40" s="17"/>
      <c r="I40" s="44"/>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row>
    <row r="41" spans="1:64" s="3" customFormat="1" ht="30" customHeight="1" thickBot="1" x14ac:dyDescent="0.25">
      <c r="A41" s="58"/>
      <c r="B41" s="104" t="s">
        <v>53</v>
      </c>
      <c r="C41" s="105" t="s">
        <v>57</v>
      </c>
      <c r="D41" s="106">
        <v>0</v>
      </c>
      <c r="E41" s="107">
        <f>F40</f>
        <v>43910</v>
      </c>
      <c r="F41" s="107">
        <v>43927</v>
      </c>
      <c r="G41" s="17"/>
      <c r="H41" s="17"/>
      <c r="I41" s="44"/>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row>
    <row r="42" spans="1:64" s="3" customFormat="1" ht="30" customHeight="1" thickBot="1" x14ac:dyDescent="0.25">
      <c r="A42" s="58"/>
      <c r="B42" s="104" t="s">
        <v>54</v>
      </c>
      <c r="C42" s="105" t="s">
        <v>57</v>
      </c>
      <c r="D42" s="106">
        <v>0</v>
      </c>
      <c r="E42" s="107">
        <f>F41</f>
        <v>43927</v>
      </c>
      <c r="F42" s="107">
        <v>43948</v>
      </c>
      <c r="G42" s="17"/>
      <c r="H42" s="17"/>
      <c r="I42" s="44"/>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row>
    <row r="43" spans="1:64" s="3" customFormat="1" ht="30" customHeight="1" thickBot="1" x14ac:dyDescent="0.25">
      <c r="A43" s="58"/>
      <c r="B43" s="104" t="s">
        <v>55</v>
      </c>
      <c r="C43" s="105" t="s">
        <v>57</v>
      </c>
      <c r="D43" s="106">
        <v>0</v>
      </c>
      <c r="E43" s="107">
        <f>F42</f>
        <v>43948</v>
      </c>
      <c r="F43" s="107">
        <v>43955</v>
      </c>
      <c r="G43" s="17"/>
      <c r="H43" s="17"/>
      <c r="I43" s="44"/>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row>
    <row r="44" spans="1:64" s="3" customFormat="1" ht="30" customHeight="1" thickBot="1" x14ac:dyDescent="0.25">
      <c r="A44" s="58"/>
      <c r="B44" s="104" t="s">
        <v>56</v>
      </c>
      <c r="C44" s="105" t="s">
        <v>57</v>
      </c>
      <c r="D44" s="106">
        <v>0</v>
      </c>
      <c r="E44" s="107">
        <f>F43</f>
        <v>43955</v>
      </c>
      <c r="F44" s="107">
        <v>43955</v>
      </c>
      <c r="G44" s="17"/>
      <c r="H44" s="17"/>
      <c r="I44" s="44"/>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row>
    <row r="45" spans="1:64" s="3" customFormat="1" ht="30" customHeight="1" thickBot="1" x14ac:dyDescent="0.25">
      <c r="A45" s="58" t="s">
        <v>28</v>
      </c>
      <c r="B45" s="84"/>
      <c r="C45" s="79"/>
      <c r="D45" s="16"/>
      <c r="E45" s="70"/>
      <c r="F45" s="70"/>
      <c r="G45" s="17"/>
      <c r="H45" s="17" t="str">
        <f t="shared" si="10"/>
        <v/>
      </c>
      <c r="I45" s="44"/>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row>
    <row r="46" spans="1:64" s="3" customFormat="1" ht="30" customHeight="1" thickBot="1" x14ac:dyDescent="0.25">
      <c r="A46" s="59" t="s">
        <v>27</v>
      </c>
      <c r="B46" s="38" t="s">
        <v>1</v>
      </c>
      <c r="C46" s="39"/>
      <c r="D46" s="40"/>
      <c r="E46" s="41"/>
      <c r="F46" s="42"/>
      <c r="G46" s="43"/>
      <c r="H46" s="43" t="str">
        <f t="shared" si="10"/>
        <v/>
      </c>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c r="BF46" s="46"/>
      <c r="BG46" s="46"/>
      <c r="BH46" s="46"/>
      <c r="BI46" s="46"/>
      <c r="BJ46" s="46"/>
      <c r="BK46" s="46"/>
      <c r="BL46" s="46"/>
    </row>
    <row r="47" spans="1:64" ht="30" customHeight="1" x14ac:dyDescent="0.2">
      <c r="G47" s="6"/>
    </row>
    <row r="48" spans="1:64" ht="30" customHeight="1" x14ac:dyDescent="0.2">
      <c r="C48" s="14"/>
      <c r="F48" s="60"/>
    </row>
    <row r="49" spans="3:3" ht="30" customHeight="1" x14ac:dyDescent="0.2">
      <c r="C49" s="15"/>
    </row>
  </sheetData>
  <mergeCells count="15">
    <mergeCell ref="BM4:BS4"/>
    <mergeCell ref="BT4:BZ4"/>
    <mergeCell ref="CA4:CG4"/>
    <mergeCell ref="AY4:BE4"/>
    <mergeCell ref="BF4:BL4"/>
    <mergeCell ref="E3:F3"/>
    <mergeCell ref="I4:O4"/>
    <mergeCell ref="P4:V4"/>
    <mergeCell ref="W4:AC4"/>
    <mergeCell ref="AD4:AJ4"/>
    <mergeCell ref="C3:D3"/>
    <mergeCell ref="C4:D4"/>
    <mergeCell ref="B5:G5"/>
    <mergeCell ref="AK4:AQ4"/>
    <mergeCell ref="AR4:AX4"/>
  </mergeCells>
  <conditionalFormatting sqref="D7:D46">
    <cfRule type="dataBar" priority="53">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46">
    <cfRule type="expression" dxfId="41" priority="72">
      <formula>AND(TODAY()&gt;=I$5,TODAY()&lt;J$5)</formula>
    </cfRule>
  </conditionalFormatting>
  <conditionalFormatting sqref="I7:BL46">
    <cfRule type="expression" dxfId="40" priority="66">
      <formula>AND(task_start&lt;=I$5,ROUNDDOWN((task_end-task_start+1)*task_progress,0)+task_start-1&gt;=I$5)</formula>
    </cfRule>
    <cfRule type="expression" dxfId="39" priority="67" stopIfTrue="1">
      <formula>AND(task_end&gt;=I$5,task_start&lt;J$5)</formula>
    </cfRule>
  </conditionalFormatting>
  <conditionalFormatting sqref="BM5">
    <cfRule type="expression" dxfId="38" priority="39">
      <formula>AND(TODAY()&gt;=BM$5,TODAY()&lt;BN$5)</formula>
    </cfRule>
  </conditionalFormatting>
  <conditionalFormatting sqref="BN5">
    <cfRule type="expression" dxfId="37" priority="38">
      <formula>AND(TODAY()&gt;=BN$5,TODAY()&lt;BO$5)</formula>
    </cfRule>
  </conditionalFormatting>
  <conditionalFormatting sqref="BO5">
    <cfRule type="expression" dxfId="36" priority="37">
      <formula>AND(TODAY()&gt;=BO$5,TODAY()&lt;BP$5)</formula>
    </cfRule>
  </conditionalFormatting>
  <conditionalFormatting sqref="BP5">
    <cfRule type="expression" dxfId="35" priority="36">
      <formula>AND(TODAY()&gt;=BP$5,TODAY()&lt;BQ$5)</formula>
    </cfRule>
  </conditionalFormatting>
  <conditionalFormatting sqref="BQ5">
    <cfRule type="expression" dxfId="34" priority="35">
      <formula>AND(TODAY()&gt;=BQ$5,TODAY()&lt;BR$5)</formula>
    </cfRule>
  </conditionalFormatting>
  <conditionalFormatting sqref="BS5">
    <cfRule type="expression" dxfId="33" priority="34">
      <formula>AND(TODAY()&gt;=BS$5,TODAY()&lt;BT$5)</formula>
    </cfRule>
  </conditionalFormatting>
  <conditionalFormatting sqref="BT5">
    <cfRule type="expression" dxfId="32" priority="33">
      <formula>AND(TODAY()&gt;=BT$5,TODAY()&lt;BU$5)</formula>
    </cfRule>
  </conditionalFormatting>
  <conditionalFormatting sqref="BU5">
    <cfRule type="expression" dxfId="31" priority="32">
      <formula>AND(TODAY()&gt;=BU$5,TODAY()&lt;BV$5)</formula>
    </cfRule>
  </conditionalFormatting>
  <conditionalFormatting sqref="BV5">
    <cfRule type="expression" dxfId="30" priority="31">
      <formula>AND(TODAY()&gt;=BV$5,TODAY()&lt;BW$5)</formula>
    </cfRule>
  </conditionalFormatting>
  <conditionalFormatting sqref="BW5">
    <cfRule type="expression" dxfId="29" priority="30">
      <formula>AND(TODAY()&gt;=BW$5,TODAY()&lt;BX$5)</formula>
    </cfRule>
  </conditionalFormatting>
  <conditionalFormatting sqref="BX5">
    <cfRule type="expression" dxfId="28" priority="29">
      <formula>AND(TODAY()&gt;=BX$5,TODAY()&lt;BY$5)</formula>
    </cfRule>
  </conditionalFormatting>
  <conditionalFormatting sqref="BZ5">
    <cfRule type="expression" dxfId="27" priority="28">
      <formula>AND(TODAY()&gt;=BZ$5,TODAY()&lt;CA$5)</formula>
    </cfRule>
  </conditionalFormatting>
  <conditionalFormatting sqref="BY5">
    <cfRule type="expression" dxfId="26" priority="27">
      <formula>AND(TODAY()&gt;=BY$5,TODAY()&lt;BZ$5)</formula>
    </cfRule>
  </conditionalFormatting>
  <conditionalFormatting sqref="CA5">
    <cfRule type="expression" dxfId="25" priority="26">
      <formula>AND(TODAY()&gt;=CA$5,TODAY()&lt;CB$5)</formula>
    </cfRule>
  </conditionalFormatting>
  <conditionalFormatting sqref="CB5">
    <cfRule type="expression" dxfId="24" priority="25">
      <formula>AND(TODAY()&gt;=CB$5,TODAY()&lt;CC$5)</formula>
    </cfRule>
  </conditionalFormatting>
  <conditionalFormatting sqref="CC5">
    <cfRule type="expression" dxfId="23" priority="24">
      <formula>AND(TODAY()&gt;=CC$5,TODAY()&lt;CD$5)</formula>
    </cfRule>
  </conditionalFormatting>
  <conditionalFormatting sqref="CD5">
    <cfRule type="expression" dxfId="22" priority="23">
      <formula>AND(TODAY()&gt;=CD$5,TODAY()&lt;CE$5)</formula>
    </cfRule>
  </conditionalFormatting>
  <conditionalFormatting sqref="CE5">
    <cfRule type="expression" dxfId="21" priority="22">
      <formula>AND(TODAY()&gt;=CE$5,TODAY()&lt;CF$5)</formula>
    </cfRule>
  </conditionalFormatting>
  <conditionalFormatting sqref="CG5">
    <cfRule type="expression" dxfId="20" priority="21">
      <formula>AND(TODAY()&gt;=CG$5,TODAY()&lt;CH$5)</formula>
    </cfRule>
  </conditionalFormatting>
  <conditionalFormatting sqref="CF5">
    <cfRule type="expression" dxfId="19" priority="20">
      <formula>AND(TODAY()&gt;=CF$5,TODAY()&lt;CG$5)</formula>
    </cfRule>
  </conditionalFormatting>
  <conditionalFormatting sqref="BZ6">
    <cfRule type="expression" dxfId="18" priority="7">
      <formula>AND(TODAY()&gt;=BZ$5,TODAY()&lt;CA$5)</formula>
    </cfRule>
  </conditionalFormatting>
  <conditionalFormatting sqref="BM6">
    <cfRule type="expression" dxfId="17" priority="19">
      <formula>AND(TODAY()&gt;=BM$5,TODAY()&lt;BN$5)</formula>
    </cfRule>
  </conditionalFormatting>
  <conditionalFormatting sqref="BN6">
    <cfRule type="expression" dxfId="16" priority="18">
      <formula>AND(TODAY()&gt;=BN$5,TODAY()&lt;BO$5)</formula>
    </cfRule>
  </conditionalFormatting>
  <conditionalFormatting sqref="BO6">
    <cfRule type="expression" dxfId="15" priority="17">
      <formula>AND(TODAY()&gt;=BO$5,TODAY()&lt;BP$5)</formula>
    </cfRule>
  </conditionalFormatting>
  <conditionalFormatting sqref="BP6">
    <cfRule type="expression" dxfId="14" priority="16">
      <formula>AND(TODAY()&gt;=BP$5,TODAY()&lt;BQ$5)</formula>
    </cfRule>
  </conditionalFormatting>
  <conditionalFormatting sqref="BQ6">
    <cfRule type="expression" dxfId="13" priority="15">
      <formula>AND(TODAY()&gt;=BQ$5,TODAY()&lt;BR$5)</formula>
    </cfRule>
  </conditionalFormatting>
  <conditionalFormatting sqref="BS6">
    <cfRule type="expression" dxfId="12" priority="14">
      <formula>AND(TODAY()&gt;=BS$5,TODAY()&lt;BT$5)</formula>
    </cfRule>
  </conditionalFormatting>
  <conditionalFormatting sqref="BT6">
    <cfRule type="expression" dxfId="11" priority="13">
      <formula>AND(TODAY()&gt;=BT$5,TODAY()&lt;BU$5)</formula>
    </cfRule>
  </conditionalFormatting>
  <conditionalFormatting sqref="BU6">
    <cfRule type="expression" dxfId="10" priority="12">
      <formula>AND(TODAY()&gt;=BU$5,TODAY()&lt;BV$5)</formula>
    </cfRule>
  </conditionalFormatting>
  <conditionalFormatting sqref="BV6">
    <cfRule type="expression" dxfId="9" priority="11">
      <formula>AND(TODAY()&gt;=BV$5,TODAY()&lt;BW$5)</formula>
    </cfRule>
  </conditionalFormatting>
  <conditionalFormatting sqref="BW6">
    <cfRule type="expression" dxfId="8" priority="10">
      <formula>AND(TODAY()&gt;=BW$5,TODAY()&lt;BX$5)</formula>
    </cfRule>
  </conditionalFormatting>
  <conditionalFormatting sqref="BX6">
    <cfRule type="expression" dxfId="7" priority="9">
      <formula>AND(TODAY()&gt;=BX$5,TODAY()&lt;BY$5)</formula>
    </cfRule>
  </conditionalFormatting>
  <conditionalFormatting sqref="BY6">
    <cfRule type="expression" dxfId="6" priority="8">
      <formula>AND(TODAY()&gt;=BY$5,TODAY()&lt;BZ$5)</formula>
    </cfRule>
  </conditionalFormatting>
  <conditionalFormatting sqref="BM8:BS28">
    <cfRule type="expression" dxfId="5" priority="6">
      <formula>AND(TODAY()&gt;=BM$5,TODAY()&lt;BN$5)</formula>
    </cfRule>
  </conditionalFormatting>
  <conditionalFormatting sqref="BM8:BS28">
    <cfRule type="expression" dxfId="4" priority="4">
      <formula>AND(task_start&lt;=BM$5,ROUNDDOWN((task_end-task_start+1)*task_progress,0)+task_start-1&gt;=BM$5)</formula>
    </cfRule>
    <cfRule type="expression" dxfId="3" priority="5" stopIfTrue="1">
      <formula>AND(task_end&gt;=BM$5,task_start&lt;BN$5)</formula>
    </cfRule>
  </conditionalFormatting>
  <conditionalFormatting sqref="BT8:BZ28">
    <cfRule type="expression" dxfId="2" priority="3">
      <formula>AND(TODAY()&gt;=BT$5,TODAY()&lt;BU$5)</formula>
    </cfRule>
  </conditionalFormatting>
  <conditionalFormatting sqref="BT8:BZ28">
    <cfRule type="expression" dxfId="1" priority="1">
      <formula>AND(task_start&lt;=BT$5,ROUNDDOWN((task_end-task_start+1)*task_progress,0)+task_start-1&gt;=BT$5)</formula>
    </cfRule>
    <cfRule type="expression" dxfId="0" priority="2" stopIfTrue="1">
      <formula>AND(task_end&gt;=BT$5,task_start&lt;BU$5)</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hyperlinks>
    <hyperlink ref="I2" r:id="rId1" xr:uid="{00000000-0004-0000-0000-000000000000}"/>
    <hyperlink ref="I1" r:id="rId2" xr:uid="{00000000-0004-0000-0000-000001000000}"/>
  </hyperlinks>
  <printOptions horizontalCentered="1"/>
  <pageMargins left="0.35" right="0.35" top="0.35" bottom="0.5" header="0.3" footer="0.3"/>
  <pageSetup scale="57" fitToHeight="0" orientation="landscape" r:id="rId3"/>
  <headerFooter differentFirst="1" scaleWithDoc="0">
    <oddFooter>Page &amp;P of &amp;N</oddFooter>
  </headerFooter>
  <ignoredErrors>
    <ignoredError sqref="F18 F22:F23 E23" formula="1"/>
  </ignoredError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baseColWidth="10" defaultColWidth="9.1640625" defaultRowHeight="14" x14ac:dyDescent="0.2"/>
  <cols>
    <col min="1" max="1" width="87.1640625" style="48" customWidth="1"/>
    <col min="2" max="16384" width="9.1640625" style="2"/>
  </cols>
  <sheetData>
    <row r="1" spans="1:2" ht="46.5" customHeight="1" x14ac:dyDescent="0.2"/>
    <row r="2" spans="1:2" s="50" customFormat="1" ht="16" x14ac:dyDescent="0.2">
      <c r="A2" s="49" t="s">
        <v>13</v>
      </c>
      <c r="B2" s="49"/>
    </row>
    <row r="3" spans="1:2" s="54" customFormat="1" ht="27" customHeight="1" x14ac:dyDescent="0.2">
      <c r="A3" s="55" t="s">
        <v>18</v>
      </c>
      <c r="B3" s="55"/>
    </row>
    <row r="4" spans="1:2" s="51" customFormat="1" ht="26" x14ac:dyDescent="0.3">
      <c r="A4" s="52" t="s">
        <v>12</v>
      </c>
    </row>
    <row r="5" spans="1:2" ht="74" customHeight="1" x14ac:dyDescent="0.2">
      <c r="A5" s="53" t="s">
        <v>21</v>
      </c>
    </row>
    <row r="6" spans="1:2" ht="26.25" customHeight="1" x14ac:dyDescent="0.2">
      <c r="A6" s="52" t="s">
        <v>24</v>
      </c>
    </row>
    <row r="7" spans="1:2" s="48" customFormat="1" ht="205" customHeight="1" x14ac:dyDescent="0.2">
      <c r="A7" s="57" t="s">
        <v>23</v>
      </c>
    </row>
    <row r="8" spans="1:2" s="51" customFormat="1" ht="26" x14ac:dyDescent="0.3">
      <c r="A8" s="52" t="s">
        <v>14</v>
      </c>
    </row>
    <row r="9" spans="1:2" ht="48" x14ac:dyDescent="0.2">
      <c r="A9" s="53" t="s">
        <v>22</v>
      </c>
    </row>
    <row r="10" spans="1:2" s="48" customFormat="1" ht="28" customHeight="1" x14ac:dyDescent="0.2">
      <c r="A10" s="56" t="s">
        <v>20</v>
      </c>
    </row>
    <row r="11" spans="1:2" s="51" customFormat="1" ht="26" x14ac:dyDescent="0.3">
      <c r="A11" s="52" t="s">
        <v>11</v>
      </c>
    </row>
    <row r="12" spans="1:2" ht="32" x14ac:dyDescent="0.2">
      <c r="A12" s="53" t="s">
        <v>19</v>
      </c>
    </row>
    <row r="13" spans="1:2" s="48" customFormat="1" ht="28" customHeight="1" x14ac:dyDescent="0.2">
      <c r="A13" s="56" t="s">
        <v>5</v>
      </c>
    </row>
    <row r="14" spans="1:2" s="51" customFormat="1" ht="26" x14ac:dyDescent="0.3">
      <c r="A14" s="52" t="s">
        <v>15</v>
      </c>
    </row>
    <row r="15" spans="1:2" ht="75" customHeight="1" x14ac:dyDescent="0.2">
      <c r="A15" s="53" t="s">
        <v>16</v>
      </c>
    </row>
    <row r="16" spans="1:2" ht="64" x14ac:dyDescent="0.2">
      <c r="A16" s="53" t="s">
        <v>17</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ProjectSchedule</vt:lpstr>
      <vt:lpstr>About</vt:lpstr>
      <vt:lpstr>Display_Week</vt:lpstr>
      <vt:lpstr>ProjectSchedule!Print_Titles</vt:lpstr>
      <vt:lpstr>Project_Start</vt:lpstr>
      <vt:lpstr>ProjectSchedule!task_end</vt:lpstr>
      <vt:lpstr>ProjectSchedule!task_progress</vt:lpstr>
      <vt:lpstr>ProjectSchedule!task_start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2019-03-19T17:17:03Z</dcterms:created>
  <dcterms:modified xsi:type="dcterms:W3CDTF">2020-02-18T00:09:18Z</dcterms:modified>
</cp:coreProperties>
</file>